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<sst xmlns="http://schemas.openxmlformats.org/spreadsheetml/2006/main" count="839" uniqueCount="353">
  <si>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</si>
  <si>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</si>
  <si>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</si>
  <si>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</si>
  <si>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</si>
  <si>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</si>
  <si>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</si>
  <si>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</si>
  <si>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</si>
  <si>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</si>
  <si>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</si>
  <si>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</si>
  <si>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</si>
  <si>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</si>
  <si>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</si>
  <si>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</si>
  <si>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</si>
  <si>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</si>
  <si>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</si>
  <si>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</si>
  <si>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Берсенева Евгения Николаевна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</si>
  <si>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</si>
  <si>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</si>
  <si>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</si>
  <si>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</si>
  <si>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</si>
  <si>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</si>
  <si>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Алексеев Александр Станиславович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</si>
  <si>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</si>
  <si>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</si>
  <si>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</si>
  <si>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</si>
  <si>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t>Солнышкина Татьяна Александровна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</si>
  <si>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</si>
  <si>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</si>
  <si>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</si>
  <si>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</si>
  <si>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</si>
  <si>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</si>
  <si>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</si>
  <si>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</si>
  <si>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</si>
  <si>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</si>
  <si>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</si>
  <si>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</si>
  <si>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</si>
  <si>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</si>
  <si>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</si>
  <si>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</si>
  <si>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</si>
  <si>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</si>
  <si>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</si>
  <si>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</si>
  <si>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</si>
  <si>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</si>
  <si>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</si>
  <si>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</si>
  <si>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</si>
  <si>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</si>
  <si>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</si>
  <si>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</si>
  <si>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</si>
  <si>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</si>
  <si>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</si>
  <si>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</si>
  <si>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</si>
  <si>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</si>
  <si>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</si>
  <si>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</si>
  <si>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</si>
  <si>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</si>
  <si>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</si>
  <si>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</si>
  <si>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</si>
  <si>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</si>
  <si>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</si>
  <si>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</si>
  <si>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</si>
  <si>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</si>
  <si>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</si>
  <si>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</si>
  <si>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</si>
  <si>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</si>
  <si>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</si>
  <si>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Дорофеева Лилия Антоновна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</si>
  <si>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</si>
  <si>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</si>
  <si>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</si>
  <si>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</si>
  <si>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</si>
  <si>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</si>
  <si>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</si>
  <si>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</si>
  <si>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</si>
  <si>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</si>
  <si>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</si>
  <si>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</si>
  <si>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</si>
  <si>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</si>
  <si>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</si>
  <si>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</si>
  <si>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</si>
  <si>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</si>
  <si>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</si>
  <si>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</si>
  <si>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</si>
  <si>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</si>
  <si>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Янина Полина Олеговна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</si>
  <si>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</si>
  <si>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</si>
  <si>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</si>
  <si>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</si>
  <si>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</si>
  <si>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</si>
  <si>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Меденцев Григорий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</si>
  <si>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</si>
  <si>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</si>
  <si>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</si>
  <si>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</si>
  <si>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</si>
  <si>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</si>
  <si>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</si>
  <si>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</si>
  <si>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</si>
  <si>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</si>
  <si>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</si>
  <si>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</si>
  <si>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</si>
  <si>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</si>
  <si>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</si>
  <si>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</si>
  <si>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</si>
  <si>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</si>
  <si>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</si>
  <si>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</si>
  <si>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</si>
  <si>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 xml:space="preserve">Подоплелова Екатерина Николаевна </t>
  </si>
  <si>
    <t>Сыроварня Краснодар</t>
  </si>
  <si>
    <t>г. Красндар, ул Красная 60</t>
  </si>
  <si>
    <t>Краснодар</t>
  </si>
  <si>
    <t>https://familygarden.su/syrovarnyakrd/</t>
  </si>
  <si>
    <t>Мокшин Александр Александрович</t>
  </si>
  <si>
    <t>Maroon</t>
  </si>
  <si>
    <t>г. Красноярск, ул. Дубровинского 1 А</t>
  </si>
  <si>
    <t>Красноярск</t>
  </si>
  <si>
    <t>https://krsk.maroon.rest/#popup:infoblock</t>
  </si>
  <si>
    <t>Бойцов Иван Сергеевич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</si>
  <si>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</si>
  <si>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</si>
  <si>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</si>
  <si>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</si>
  <si>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</si>
  <si>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</si>
  <si>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</si>
  <si>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</si>
  <si>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</si>
  <si>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</si>
  <si>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</si>
  <si>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</si>
  <si>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</si>
  <si>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</si>
  <si>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</si>
  <si>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</si>
  <si>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</si>
  <si>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</si>
  <si>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</si>
  <si>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</si>
  <si>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</si>
  <si>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</si>
  <si>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Репилов Иван Викторович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</si>
  <si>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</si>
  <si>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</si>
  <si>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</si>
  <si>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</si>
  <si>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</si>
  <si>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</si>
  <si>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</si>
  <si>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</si>
  <si>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</si>
  <si>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</si>
  <si>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</si>
  <si>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</si>
  <si>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</si>
  <si>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</si>
  <si>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</si>
  <si>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</si>
  <si>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</si>
  <si>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</si>
  <si>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</si>
  <si>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Шиверских Виктор Станиславович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</si>
  <si>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</si>
  <si>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</si>
  <si>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</si>
  <si>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</si>
  <si>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</si>
  <si>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</si>
  <si>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</si>
  <si>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</si>
  <si>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</si>
  <si>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</si>
  <si>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</si>
  <si>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</si>
  <si>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</si>
  <si>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</si>
  <si>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Жесткова Маргарита Викторовна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</si>
  <si>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</si>
  <si>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</si>
  <si>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</si>
  <si>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</si>
  <si>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Белов Александр Сергеевич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</si>
  <si>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</si>
  <si>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</si>
  <si>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</si>
  <si>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</si>
  <si>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</si>
  <si>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</si>
  <si>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</si>
  <si>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</si>
  <si>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</si>
  <si>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</si>
  <si>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</si>
  <si>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</si>
  <si>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</si>
  <si>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</si>
  <si>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</si>
  <si>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</si>
  <si>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</si>
  <si>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</si>
  <si>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</si>
  <si>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</si>
  <si>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</si>
  <si>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</si>
  <si>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</si>
  <si>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</si>
  <si>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</si>
  <si>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</si>
  <si>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</si>
  <si>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Пичуев Владислав Витальевич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</si>
  <si>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</si>
  <si>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</si>
  <si>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</si>
  <si>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</si>
  <si>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</si>
  <si>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</si>
  <si>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</si>
  <si>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</si>
  <si>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</si>
  <si>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>Medusa</t>
  </si>
  <si>
    <t>г. Москва, Берсеневский переулок, 2, стр. 1</t>
  </si>
  <si>
    <t>https://medusa.rest/?fa821dba_redirect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</si>
  <si>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</si>
  <si>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</si>
  <si>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</si>
  <si>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</si>
  <si>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</si>
  <si>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</si>
  <si>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</si>
  <si>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</si>
  <si>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</si>
  <si>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</si>
  <si>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</si>
  <si>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</si>
  <si>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</si>
  <si>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</si>
  <si>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</si>
  <si>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</si>
  <si>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</si>
  <si>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</si>
  <si>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</si>
  <si>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</si>
  <si>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г. Москва, ул. Бутырский Вал, 10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</si>
  <si>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</si>
  <si>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</si>
  <si>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</si>
  <si>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</si>
  <si>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</si>
  <si>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</si>
  <si>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</si>
  <si>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</si>
  <si>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</si>
  <si>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</si>
  <si>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</si>
  <si>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</si>
  <si>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</si>
  <si>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</si>
  <si>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</si>
  <si>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</si>
  <si>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</si>
  <si>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</si>
  <si>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</si>
  <si>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</si>
  <si>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</si>
  <si>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</si>
  <si>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</si>
  <si>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</si>
  <si>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</si>
  <si>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White Rabbit</t>
  </si>
  <si>
    <t>г. Москва, Смоленская площадь, дом 3, этаж 16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</si>
  <si>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</si>
  <si>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</si>
  <si>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</si>
  <si>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</si>
  <si>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</si>
  <si>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</si>
  <si>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</si>
  <si>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</si>
  <si>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</si>
  <si>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</si>
  <si>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</si>
  <si>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</si>
  <si>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</si>
  <si>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</si>
  <si>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</si>
  <si>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</si>
  <si>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</si>
  <si>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</si>
  <si>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</si>
  <si>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</si>
  <si>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Казаков Павел Владимирович</t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</si>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</sst>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11" fontId="10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2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2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3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0" fontId="17" numFmtId="0" xfId="0" applyAlignment="1" applyFont="1">
      <alignment horizontal="left" readingOrder="0" shrinkToFit="0" wrapText="0"/>
    </xf>
    <xf borderId="0" fillId="12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rest.ru/red-october" TargetMode="External"/><Relationship Id="rId42" Type="http://schemas.openxmlformats.org/officeDocument/2006/relationships/hyperlink" Target="https://familygarden.su/medusa/" TargetMode="External"/><Relationship Id="rId41" Type="http://schemas.openxmlformats.org/officeDocument/2006/relationships/hyperlink" Target="https://magadan-ufa.ru/" TargetMode="External"/><Relationship Id="rId44" Type="http://schemas.openxmlformats.org/officeDocument/2006/relationships/hyperlink" Target="https://mushroomsmoscow.ru/ru/" TargetMode="External"/><Relationship Id="rId43" Type="http://schemas.openxmlformats.org/officeDocument/2006/relationships/hyperlink" Target="https://she.wrf.su/" TargetMode="External"/><Relationship Id="rId46" Type="http://schemas.openxmlformats.org/officeDocument/2006/relationships/hyperlink" Target="https://sakhalin-moscow.ru/" TargetMode="External"/><Relationship Id="rId45" Type="http://schemas.openxmlformats.org/officeDocument/2006/relationships/hyperlink" Target="https://krasota.wrf.su/tickets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nsk.gorynich.com/" TargetMode="External"/><Relationship Id="rId47" Type="http://schemas.openxmlformats.org/officeDocument/2006/relationships/hyperlink" Target="https://gvidon.wrf.su/events" TargetMode="External"/><Relationship Id="rId49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narnia.rest/" TargetMode="External"/><Relationship Id="rId34" Type="http://schemas.openxmlformats.org/officeDocument/2006/relationships/hyperlink" Target="https://medusa.rest/?fa821dba_redirect" TargetMode="External"/><Relationship Id="rId37" Type="http://schemas.openxmlformats.org/officeDocument/2006/relationships/hyperlink" Target="https://phantom.rest/" TargetMode="External"/><Relationship Id="rId36" Type="http://schemas.openxmlformats.org/officeDocument/2006/relationships/hyperlink" Target="https://magadan-newmsk.rest/" TargetMode="External"/><Relationship Id="rId39" Type="http://schemas.openxmlformats.org/officeDocument/2006/relationships/hyperlink" Target="https://ava.rest/" TargetMode="External"/><Relationship Id="rId38" Type="http://schemas.openxmlformats.org/officeDocument/2006/relationships/hyperlink" Target="https://kolbasnyy-tsekh.ru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eda.yandex.ru/sochi/r/gorynych?placeSlug=gorynych_kmcqp" TargetMode="External"/><Relationship Id="rId50" Type="http://schemas.openxmlformats.org/officeDocument/2006/relationships/hyperlink" Target="https://sch.gorynich.com/?utm_source=google_kart&amp;utm_campaign=contacts" TargetMode="External"/><Relationship Id="rId53" Type="http://schemas.openxmlformats.org/officeDocument/2006/relationships/hyperlink" Target="https://amdelivery.org/mamatutamsk/about/contacts/" TargetMode="External"/><Relationship Id="rId52" Type="http://schemas.openxmlformats.org/officeDocument/2006/relationships/hyperlink" Target="https://kp.tehnikumbistro.ru/" TargetMode="External"/><Relationship Id="rId11" Type="http://schemas.openxmlformats.org/officeDocument/2006/relationships/hyperlink" Target="https://maya.lucky-group.rest/contact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hyperlink" Target="https://probka.org/restaurants/mina-msk/" TargetMode="Externa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25.75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IFERROR(__xludf.DUMMYFUNCTION("IFERROR(VLOOKUP(A2,IMPORTRANGE(""1JKYrYOBZQfsQ_9v3OK3daUockrnOgmzXdn8TvfuM9qs"",""Выборка!$A$2:$K$192""),11,0),"""")"),"Берсенева Евгения Николаевна")</f>
        <v>Берсенева Евгения Николаевна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0" t="s">
        <v>27</v>
      </c>
      <c r="L3" s="10"/>
      <c r="N3" s="14" t="str">
        <f>IFERROR(__xludf.DUMMYFUNCTION("IFERROR(VLOOKUP(A3,IMPORTRANGE(""1JKYrYOBZQfsQ_9v3OK3daUockrnOgmzXdn8TvfuM9qs"",""Выборка!$A$2:$K$192""),11,0),"""")"),"Алексеев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32</v>
      </c>
      <c r="L4" s="13" t="s">
        <v>33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7" t="s">
        <v>34</v>
      </c>
      <c r="C5" s="17" t="s">
        <v>35</v>
      </c>
      <c r="D5" s="17" t="s">
        <v>36</v>
      </c>
      <c r="E5" s="17" t="s">
        <v>37</v>
      </c>
      <c r="F5" s="18" t="s">
        <v>17</v>
      </c>
      <c r="G5" s="10" t="s">
        <v>18</v>
      </c>
      <c r="H5" s="15" t="s">
        <v>38</v>
      </c>
      <c r="I5" s="10" t="s">
        <v>39</v>
      </c>
      <c r="J5" s="16" t="s">
        <v>40</v>
      </c>
      <c r="K5" s="11" t="s">
        <v>41</v>
      </c>
      <c r="L5" s="13" t="s">
        <v>42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7" t="s">
        <v>34</v>
      </c>
      <c r="C6" s="17" t="s">
        <v>43</v>
      </c>
      <c r="D6" s="17" t="s">
        <v>44</v>
      </c>
      <c r="E6" s="17" t="s">
        <v>37</v>
      </c>
      <c r="F6" s="18" t="s">
        <v>24</v>
      </c>
      <c r="G6" s="10" t="s">
        <v>18</v>
      </c>
      <c r="H6" s="15" t="s">
        <v>25</v>
      </c>
      <c r="I6" s="10"/>
      <c r="J6" s="12" t="s">
        <v>45</v>
      </c>
      <c r="K6" s="11" t="s">
        <v>41</v>
      </c>
      <c r="L6" s="18" t="s">
        <v>46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7" t="s">
        <v>34</v>
      </c>
      <c r="C7" s="17" t="s">
        <v>47</v>
      </c>
      <c r="D7" s="17" t="s">
        <v>48</v>
      </c>
      <c r="E7" s="17" t="s">
        <v>37</v>
      </c>
      <c r="F7" s="18" t="s">
        <v>24</v>
      </c>
      <c r="G7" s="10" t="s">
        <v>18</v>
      </c>
      <c r="H7" s="15" t="s">
        <v>25</v>
      </c>
      <c r="I7" s="10"/>
      <c r="J7" s="12" t="s">
        <v>49</v>
      </c>
      <c r="K7" s="19" t="s">
        <v>50</v>
      </c>
      <c r="L7" s="18" t="s">
        <v>51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0" t="s">
        <v>52</v>
      </c>
      <c r="C8" s="20" t="s">
        <v>53</v>
      </c>
      <c r="D8" s="20" t="s">
        <v>54</v>
      </c>
      <c r="E8" s="20" t="s">
        <v>37</v>
      </c>
      <c r="F8" s="10" t="s">
        <v>17</v>
      </c>
      <c r="G8" s="10" t="s">
        <v>18</v>
      </c>
      <c r="H8" s="10"/>
      <c r="I8" s="10" t="s">
        <v>55</v>
      </c>
      <c r="J8" s="16" t="s">
        <v>56</v>
      </c>
      <c r="K8" s="10" t="s">
        <v>57</v>
      </c>
      <c r="L8" s="13" t="s">
        <v>58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0" t="s">
        <v>52</v>
      </c>
      <c r="C9" s="20" t="s">
        <v>59</v>
      </c>
      <c r="D9" s="20" t="s">
        <v>60</v>
      </c>
      <c r="E9" s="20" t="s">
        <v>37</v>
      </c>
      <c r="F9" s="10" t="s">
        <v>17</v>
      </c>
      <c r="G9" s="10" t="s">
        <v>18</v>
      </c>
      <c r="H9" s="10"/>
      <c r="I9" s="10" t="s">
        <v>61</v>
      </c>
      <c r="J9" s="16" t="s">
        <v>62</v>
      </c>
      <c r="K9" s="10" t="s">
        <v>63</v>
      </c>
      <c r="L9" s="13" t="s">
        <v>64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0" t="s">
        <v>52</v>
      </c>
      <c r="C10" s="20" t="s">
        <v>65</v>
      </c>
      <c r="D10" s="20" t="s">
        <v>66</v>
      </c>
      <c r="E10" s="20" t="s">
        <v>37</v>
      </c>
      <c r="F10" s="10" t="s">
        <v>17</v>
      </c>
      <c r="G10" s="10" t="s">
        <v>18</v>
      </c>
      <c r="H10" s="10"/>
      <c r="I10" s="10" t="s">
        <v>61</v>
      </c>
      <c r="J10" s="16" t="s">
        <v>67</v>
      </c>
      <c r="K10" s="10" t="s">
        <v>41</v>
      </c>
      <c r="L10" s="13" t="s">
        <v>68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0" t="s">
        <v>52</v>
      </c>
      <c r="C11" s="20" t="s">
        <v>69</v>
      </c>
      <c r="D11" s="20" t="s">
        <v>70</v>
      </c>
      <c r="E11" s="20" t="s">
        <v>37</v>
      </c>
      <c r="F11" s="10" t="s">
        <v>17</v>
      </c>
      <c r="G11" s="10" t="s">
        <v>18</v>
      </c>
      <c r="H11" s="10"/>
      <c r="I11" s="10" t="s">
        <v>71</v>
      </c>
      <c r="J11" s="16" t="s">
        <v>72</v>
      </c>
      <c r="K11" s="10" t="s">
        <v>57</v>
      </c>
      <c r="L11" s="13" t="s">
        <v>73</v>
      </c>
      <c r="N11" s="14" t="str">
        <f>IFERROR(__xludf.DUMMYFUNCTION("IFERROR(VLOOKUP(A11,IMPORTRANGE(""1JKYrYOBZQfsQ_9v3OK3daUockrnOgmzXdn8TvfuM9qs"",""Выборка!$A$2:$K$192""),11,0),"""")"),"Идрисова Сабина Рамилевнна")</f>
        <v>Идрисова Сабина Рамилевнна</v>
      </c>
      <c r="O11" s="14" t="str">
        <f t="shared" si="1"/>
        <v>нет</v>
      </c>
    </row>
    <row r="12">
      <c r="A12" s="21">
        <v>13.0</v>
      </c>
      <c r="B12" s="20" t="s">
        <v>52</v>
      </c>
      <c r="C12" s="20" t="s">
        <v>74</v>
      </c>
      <c r="D12" s="20" t="s">
        <v>75</v>
      </c>
      <c r="E12" s="20" t="s">
        <v>37</v>
      </c>
      <c r="F12" s="10" t="s">
        <v>24</v>
      </c>
      <c r="G12" s="10" t="s">
        <v>18</v>
      </c>
      <c r="H12" s="10"/>
      <c r="I12" s="10" t="s">
        <v>61</v>
      </c>
      <c r="J12" s="10"/>
      <c r="K12" s="10" t="s">
        <v>41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0" t="s">
        <v>52</v>
      </c>
      <c r="C13" s="20" t="s">
        <v>76</v>
      </c>
      <c r="D13" s="20" t="s">
        <v>77</v>
      </c>
      <c r="E13" s="20" t="s">
        <v>37</v>
      </c>
      <c r="F13" s="10" t="s">
        <v>24</v>
      </c>
      <c r="G13" s="10" t="s">
        <v>18</v>
      </c>
      <c r="H13" s="10"/>
      <c r="I13" s="10" t="s">
        <v>78</v>
      </c>
      <c r="J13" s="10"/>
      <c r="K13" s="22" t="s">
        <v>50</v>
      </c>
      <c r="L13" s="23" t="s">
        <v>79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1">
        <v>34.0</v>
      </c>
      <c r="B14" s="20" t="s">
        <v>52</v>
      </c>
      <c r="C14" s="20" t="s">
        <v>80</v>
      </c>
      <c r="D14" s="20" t="s">
        <v>81</v>
      </c>
      <c r="E14" s="20" t="s">
        <v>37</v>
      </c>
      <c r="F14" s="10" t="s">
        <v>24</v>
      </c>
      <c r="G14" s="10" t="s">
        <v>18</v>
      </c>
      <c r="H14" s="10"/>
      <c r="I14" s="10" t="s">
        <v>61</v>
      </c>
      <c r="J14" s="10"/>
      <c r="K14" s="19" t="s">
        <v>41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0" t="s">
        <v>52</v>
      </c>
      <c r="C15" s="20" t="s">
        <v>82</v>
      </c>
      <c r="D15" s="20" t="s">
        <v>83</v>
      </c>
      <c r="E15" s="20" t="s">
        <v>37</v>
      </c>
      <c r="F15" s="10" t="s">
        <v>24</v>
      </c>
      <c r="G15" s="10" t="s">
        <v>18</v>
      </c>
      <c r="H15" s="10"/>
      <c r="I15" s="10" t="s">
        <v>61</v>
      </c>
      <c r="J15" s="10"/>
      <c r="K15" s="24" t="s">
        <v>84</v>
      </c>
      <c r="L15" s="10"/>
      <c r="N15" s="14" t="str">
        <f>IFERROR(__xludf.DUMMYFUNCTION("IFERROR(VLOOKUP(A15,IMPORTRANGE(""1JKYrYOBZQfsQ_9v3OK3daUockrnOgmzXdn8TvfuM9qs"",""Выборка!$A$2:$K$192""),11,0),"""")"),"Дорофеева Лилия Антоновна")</f>
        <v>Дорофеева Лилия Антоновна</v>
      </c>
      <c r="O15" s="14" t="str">
        <f t="shared" si="1"/>
        <v>да</v>
      </c>
    </row>
    <row r="16">
      <c r="A16" s="8">
        <v>126.0</v>
      </c>
      <c r="B16" s="20" t="s">
        <v>52</v>
      </c>
      <c r="C16" s="20" t="s">
        <v>85</v>
      </c>
      <c r="D16" s="20" t="s">
        <v>86</v>
      </c>
      <c r="E16" s="20" t="s">
        <v>37</v>
      </c>
      <c r="F16" s="10" t="s">
        <v>24</v>
      </c>
      <c r="G16" s="10" t="s">
        <v>18</v>
      </c>
      <c r="H16" s="11"/>
      <c r="I16" s="10" t="s">
        <v>61</v>
      </c>
      <c r="J16" s="11"/>
      <c r="K16" s="10" t="s">
        <v>50</v>
      </c>
      <c r="L16" s="10"/>
      <c r="N16" s="14" t="str">
        <f>IFERROR(__xludf.DUMMYFUNCTION("IFERROR(VLOOKUP(A16,IMPORTRANGE(""1JKYrYOBZQfsQ_9v3OK3daUockrnOgmzXdn8TvfuM9qs"",""Выборка!$A$2:$K$192""),11,0),"""")"),"Климцева Анна Евгеньевна")</f>
        <v>Климцева Анна Евгеньевна</v>
      </c>
      <c r="O16" s="14" t="str">
        <f t="shared" si="1"/>
        <v>да</v>
      </c>
    </row>
    <row r="17">
      <c r="A17" s="8">
        <v>14.0</v>
      </c>
      <c r="B17" s="25" t="s">
        <v>87</v>
      </c>
      <c r="C17" s="25" t="s">
        <v>88</v>
      </c>
      <c r="D17" s="25" t="s">
        <v>89</v>
      </c>
      <c r="E17" s="25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90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17" s="14" t="str">
        <f t="shared" si="1"/>
        <v>да</v>
      </c>
    </row>
    <row r="18">
      <c r="A18" s="8">
        <v>53.0</v>
      </c>
      <c r="B18" s="25" t="s">
        <v>87</v>
      </c>
      <c r="C18" s="25" t="s">
        <v>91</v>
      </c>
      <c r="D18" s="25" t="s">
        <v>92</v>
      </c>
      <c r="E18" s="25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93</v>
      </c>
      <c r="K18" s="10" t="s">
        <v>94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5" t="s">
        <v>87</v>
      </c>
      <c r="C19" s="25" t="s">
        <v>95</v>
      </c>
      <c r="D19" s="25" t="s">
        <v>96</v>
      </c>
      <c r="E19" s="25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97</v>
      </c>
      <c r="K19" s="10" t="s">
        <v>98</v>
      </c>
      <c r="L19" s="10" t="s">
        <v>99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5" t="s">
        <v>87</v>
      </c>
      <c r="C20" s="25" t="s">
        <v>100</v>
      </c>
      <c r="D20" s="25" t="s">
        <v>101</v>
      </c>
      <c r="E20" s="25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102</v>
      </c>
      <c r="K20" s="10" t="s">
        <v>103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5" t="s">
        <v>87</v>
      </c>
      <c r="C21" s="25" t="s">
        <v>104</v>
      </c>
      <c r="D21" s="25" t="s">
        <v>105</v>
      </c>
      <c r="E21" s="25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106</v>
      </c>
      <c r="K21" s="10" t="s">
        <v>107</v>
      </c>
      <c r="L21" s="10" t="s">
        <v>99</v>
      </c>
      <c r="N21" s="14" t="str">
        <f>IFERROR(__xludf.DUMMYFUNCTION("IFERROR(VLOOKUP(A21,IMPORTRANGE(""1JKYrYOBZQfsQ_9v3OK3daUockrnOgmzXdn8TvfuM9qs"",""Выборка!$A$2:$K$192""),11,0),"""")"),"Янина Полина Олеговна")</f>
        <v>Янина Полина Олеговна</v>
      </c>
      <c r="O21" s="14" t="str">
        <f t="shared" si="1"/>
        <v>да</v>
      </c>
    </row>
    <row r="22">
      <c r="A22" s="8">
        <v>124.0</v>
      </c>
      <c r="B22" s="26" t="s">
        <v>108</v>
      </c>
      <c r="C22" s="26" t="s">
        <v>109</v>
      </c>
      <c r="D22" s="26" t="s">
        <v>110</v>
      </c>
      <c r="E22" s="26" t="s">
        <v>111</v>
      </c>
      <c r="F22" s="10" t="s">
        <v>24</v>
      </c>
      <c r="G22" s="10" t="s">
        <v>18</v>
      </c>
      <c r="H22" s="27" t="s">
        <v>112</v>
      </c>
      <c r="I22" s="10"/>
      <c r="J22" s="16" t="s">
        <v>113</v>
      </c>
      <c r="K22" s="10" t="s">
        <v>114</v>
      </c>
      <c r="L22" s="10" t="s">
        <v>115</v>
      </c>
      <c r="N22" s="14" t="str">
        <f>IFERROR(__xludf.DUMMYFUNCTION("IFERROR(VLOOKUP(A22,IMPORTRANGE(""1JKYrYOBZQfsQ_9v3OK3daUockrnOgmzXdn8TvfuM9qs"",""Выборка!$A$2:$K$192""),11,0),"""")"),"Меденцев Григорий Сергеевич")</f>
        <v>Меденцев Григорий Сергеевич</v>
      </c>
      <c r="O22" s="14" t="str">
        <f t="shared" si="1"/>
        <v>да</v>
      </c>
    </row>
    <row r="23">
      <c r="A23" s="8">
        <v>4.0</v>
      </c>
      <c r="B23" s="26" t="s">
        <v>108</v>
      </c>
      <c r="C23" s="26" t="s">
        <v>116</v>
      </c>
      <c r="D23" s="26" t="s">
        <v>117</v>
      </c>
      <c r="E23" s="26" t="s">
        <v>118</v>
      </c>
      <c r="F23" s="10" t="s">
        <v>24</v>
      </c>
      <c r="G23" s="10" t="s">
        <v>18</v>
      </c>
      <c r="H23" s="27" t="s">
        <v>112</v>
      </c>
      <c r="I23" s="10"/>
      <c r="J23" s="16" t="s">
        <v>119</v>
      </c>
      <c r="K23" s="19" t="s">
        <v>120</v>
      </c>
      <c r="L23" s="10" t="s">
        <v>115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6" t="s">
        <v>108</v>
      </c>
      <c r="C24" s="26" t="s">
        <v>121</v>
      </c>
      <c r="D24" s="26" t="s">
        <v>122</v>
      </c>
      <c r="E24" s="26" t="s">
        <v>123</v>
      </c>
      <c r="F24" s="10" t="s">
        <v>24</v>
      </c>
      <c r="G24" s="10" t="s">
        <v>18</v>
      </c>
      <c r="H24" s="27" t="s">
        <v>112</v>
      </c>
      <c r="I24" s="10"/>
      <c r="J24" s="16" t="s">
        <v>124</v>
      </c>
      <c r="K24" s="10" t="s">
        <v>125</v>
      </c>
      <c r="L24" s="10" t="s">
        <v>126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6" t="s">
        <v>108</v>
      </c>
      <c r="C25" s="26" t="s">
        <v>127</v>
      </c>
      <c r="D25" s="26" t="s">
        <v>128</v>
      </c>
      <c r="E25" s="26" t="s">
        <v>129</v>
      </c>
      <c r="F25" s="10" t="s">
        <v>24</v>
      </c>
      <c r="G25" s="10" t="s">
        <v>18</v>
      </c>
      <c r="H25" s="27" t="s">
        <v>112</v>
      </c>
      <c r="I25" s="10"/>
      <c r="J25" s="28" t="s">
        <v>130</v>
      </c>
      <c r="K25" s="10" t="s">
        <v>131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6" t="s">
        <v>108</v>
      </c>
      <c r="C26" s="26" t="s">
        <v>132</v>
      </c>
      <c r="D26" s="26" t="s">
        <v>133</v>
      </c>
      <c r="E26" s="26" t="s">
        <v>134</v>
      </c>
      <c r="F26" s="10" t="s">
        <v>24</v>
      </c>
      <c r="G26" s="10" t="s">
        <v>18</v>
      </c>
      <c r="H26" s="27" t="s">
        <v>112</v>
      </c>
      <c r="I26" s="10"/>
      <c r="J26" s="29" t="s">
        <v>135</v>
      </c>
      <c r="K26" s="10" t="s">
        <v>136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 ")</f>
        <v>Подоплелова Екатерина Николаевна </v>
      </c>
      <c r="O26" s="14" t="str">
        <f t="shared" si="1"/>
        <v>да</v>
      </c>
    </row>
    <row r="27">
      <c r="A27" s="8">
        <v>152.0</v>
      </c>
      <c r="B27" s="26" t="s">
        <v>108</v>
      </c>
      <c r="C27" s="26" t="s">
        <v>137</v>
      </c>
      <c r="D27" s="26" t="s">
        <v>138</v>
      </c>
      <c r="E27" s="26" t="s">
        <v>139</v>
      </c>
      <c r="F27" s="10" t="s">
        <v>24</v>
      </c>
      <c r="G27" s="10" t="s">
        <v>18</v>
      </c>
      <c r="H27" s="10"/>
      <c r="I27" s="10"/>
      <c r="J27" s="16" t="s">
        <v>140</v>
      </c>
      <c r="K27" s="10" t="s">
        <v>141</v>
      </c>
      <c r="L27" s="10"/>
      <c r="N27" s="14" t="str">
        <f>IFERROR(__xludf.DUMMYFUNCTION("IFERROR(VLOOKUP(A27,IMPORTRANGE(""1JKYrYOBZQfsQ_9v3OK3daUockrnOgmzXdn8TvfuM9qs"",""Выборка!$A$2:$K$192""),11,0),"""")"),"Мокшин Александр Александрович")</f>
        <v>Мокшин Александр Александрович</v>
      </c>
      <c r="O27" s="14" t="str">
        <f t="shared" si="1"/>
        <v>да</v>
      </c>
    </row>
    <row r="28">
      <c r="A28" s="8">
        <v>17.0</v>
      </c>
      <c r="B28" s="26" t="s">
        <v>108</v>
      </c>
      <c r="C28" s="26" t="s">
        <v>142</v>
      </c>
      <c r="D28" s="26" t="s">
        <v>143</v>
      </c>
      <c r="E28" s="26" t="s">
        <v>144</v>
      </c>
      <c r="F28" s="10" t="s">
        <v>24</v>
      </c>
      <c r="G28" s="10" t="s">
        <v>18</v>
      </c>
      <c r="H28" s="15" t="s">
        <v>112</v>
      </c>
      <c r="I28" s="10"/>
      <c r="J28" s="12" t="s">
        <v>145</v>
      </c>
      <c r="K28" s="30" t="s">
        <v>146</v>
      </c>
      <c r="L28" s="10"/>
      <c r="N28" s="14" t="str">
        <f>IFERROR(__xludf.DUMMYFUNCTION("IFERROR(VLOOKUP(A28,IMPORTRANGE(""1JKYrYOBZQfsQ_9v3OK3daUockrnOgmzXdn8TvfuM9qs"",""Выборка!$A$2:$K$192""),11,0),"""")"),"Бойцов Иван Сергеевич")</f>
        <v>Бойцов Иван Сергеевич</v>
      </c>
      <c r="O28" s="14" t="str">
        <f t="shared" si="1"/>
        <v>да</v>
      </c>
    </row>
    <row r="29">
      <c r="A29" s="8">
        <v>22.0</v>
      </c>
      <c r="B29" s="26" t="s">
        <v>108</v>
      </c>
      <c r="C29" s="26" t="s">
        <v>147</v>
      </c>
      <c r="D29" s="26" t="s">
        <v>148</v>
      </c>
      <c r="E29" s="26" t="s">
        <v>149</v>
      </c>
      <c r="F29" s="10" t="s">
        <v>24</v>
      </c>
      <c r="G29" s="10" t="s">
        <v>18</v>
      </c>
      <c r="H29" s="15" t="s">
        <v>112</v>
      </c>
      <c r="I29" s="10"/>
      <c r="J29" s="12" t="s">
        <v>150</v>
      </c>
      <c r="K29" s="24" t="s">
        <v>151</v>
      </c>
      <c r="L29" s="10" t="s">
        <v>152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6" t="s">
        <v>108</v>
      </c>
      <c r="C30" s="26" t="s">
        <v>153</v>
      </c>
      <c r="D30" s="26" t="s">
        <v>154</v>
      </c>
      <c r="E30" s="26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155</v>
      </c>
      <c r="L30" s="10" t="s">
        <v>156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6" t="s">
        <v>108</v>
      </c>
      <c r="C31" s="26" t="s">
        <v>157</v>
      </c>
      <c r="D31" s="26" t="s">
        <v>158</v>
      </c>
      <c r="E31" s="26" t="s">
        <v>16</v>
      </c>
      <c r="F31" s="10" t="s">
        <v>24</v>
      </c>
      <c r="G31" s="10" t="s">
        <v>18</v>
      </c>
      <c r="H31" s="11"/>
      <c r="I31" s="10"/>
      <c r="J31" s="11"/>
      <c r="K31" s="31" t="s">
        <v>27</v>
      </c>
      <c r="L31" s="10" t="s">
        <v>156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6" t="s">
        <v>108</v>
      </c>
      <c r="C32" s="26" t="s">
        <v>159</v>
      </c>
      <c r="D32" s="26" t="s">
        <v>160</v>
      </c>
      <c r="E32" s="26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161</v>
      </c>
      <c r="K32" s="10" t="s">
        <v>94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6" t="s">
        <v>108</v>
      </c>
      <c r="C33" s="26" t="s">
        <v>162</v>
      </c>
      <c r="D33" s="26" t="s">
        <v>163</v>
      </c>
      <c r="E33" s="26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164</v>
      </c>
      <c r="L33" s="23" t="s">
        <v>156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6" t="s">
        <v>108</v>
      </c>
      <c r="C34" s="26" t="s">
        <v>165</v>
      </c>
      <c r="D34" s="26" t="s">
        <v>166</v>
      </c>
      <c r="E34" s="26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103</v>
      </c>
      <c r="L34" s="23" t="s">
        <v>156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6" t="s">
        <v>108</v>
      </c>
      <c r="C35" s="26" t="s">
        <v>167</v>
      </c>
      <c r="D35" s="26" t="s">
        <v>168</v>
      </c>
      <c r="E35" s="26" t="s">
        <v>16</v>
      </c>
      <c r="F35" s="10" t="s">
        <v>24</v>
      </c>
      <c r="G35" s="10" t="s">
        <v>18</v>
      </c>
      <c r="H35" s="11"/>
      <c r="I35" s="10"/>
      <c r="J35" s="11"/>
      <c r="K35" s="31" t="s">
        <v>169</v>
      </c>
      <c r="L35" s="23" t="s">
        <v>156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6" t="s">
        <v>108</v>
      </c>
      <c r="C36" s="26" t="s">
        <v>170</v>
      </c>
      <c r="D36" s="26" t="s">
        <v>171</v>
      </c>
      <c r="E36" s="26" t="s">
        <v>16</v>
      </c>
      <c r="F36" s="10" t="s">
        <v>24</v>
      </c>
      <c r="G36" s="10" t="s">
        <v>18</v>
      </c>
      <c r="H36" s="11"/>
      <c r="I36" s="10"/>
      <c r="J36" s="11"/>
      <c r="K36" s="31" t="s">
        <v>94</v>
      </c>
      <c r="L36" s="23" t="s">
        <v>172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6" t="s">
        <v>108</v>
      </c>
      <c r="C37" s="26" t="s">
        <v>173</v>
      </c>
      <c r="D37" s="26" t="s">
        <v>174</v>
      </c>
      <c r="E37" s="26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103</v>
      </c>
      <c r="L37" s="23" t="s">
        <v>175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6" t="s">
        <v>108</v>
      </c>
      <c r="C38" s="26" t="s">
        <v>176</v>
      </c>
      <c r="D38" s="26" t="s">
        <v>177</v>
      </c>
      <c r="E38" s="26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178</v>
      </c>
      <c r="L38" s="32" t="s">
        <v>175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6" t="s">
        <v>108</v>
      </c>
      <c r="C39" s="26" t="s">
        <v>179</v>
      </c>
      <c r="D39" s="26" t="s">
        <v>180</v>
      </c>
      <c r="E39" s="26" t="s">
        <v>16</v>
      </c>
      <c r="F39" s="10" t="s">
        <v>24</v>
      </c>
      <c r="G39" s="10" t="s">
        <v>18</v>
      </c>
      <c r="H39" s="11"/>
      <c r="I39" s="10"/>
      <c r="J39" s="11"/>
      <c r="K39" s="31" t="s">
        <v>181</v>
      </c>
      <c r="L39" s="23" t="s">
        <v>182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6" t="s">
        <v>108</v>
      </c>
      <c r="C40" s="26" t="s">
        <v>183</v>
      </c>
      <c r="D40" s="26" t="s">
        <v>184</v>
      </c>
      <c r="E40" s="26" t="s">
        <v>16</v>
      </c>
      <c r="F40" s="10" t="s">
        <v>24</v>
      </c>
      <c r="G40" s="10" t="s">
        <v>18</v>
      </c>
      <c r="H40" s="27" t="s">
        <v>25</v>
      </c>
      <c r="I40" s="10"/>
      <c r="J40" s="12" t="s">
        <v>185</v>
      </c>
      <c r="K40" s="10" t="s">
        <v>186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6" t="s">
        <v>108</v>
      </c>
      <c r="C41" s="26" t="s">
        <v>187</v>
      </c>
      <c r="D41" s="26" t="s">
        <v>188</v>
      </c>
      <c r="E41" s="26" t="s">
        <v>16</v>
      </c>
      <c r="F41" s="10" t="s">
        <v>24</v>
      </c>
      <c r="G41" s="10" t="s">
        <v>18</v>
      </c>
      <c r="H41" s="11"/>
      <c r="I41" s="10"/>
      <c r="J41" s="11"/>
      <c r="K41" s="31" t="s">
        <v>189</v>
      </c>
      <c r="L41" s="32" t="s">
        <v>175</v>
      </c>
      <c r="N41" s="14" t="str">
        <f>IFERROR(__xludf.DUMMYFUNCTION("IFERROR(VLOOKUP(A41,IMPORTRANGE(""1JKYrYOBZQfsQ_9v3OK3daUockrnOgmzXdn8TvfuM9qs"",""Выборка!$A$2:$K$192""),11,0),"""")"),"Шиверских Виктор Станиславович")</f>
        <v>Шиверских Виктор Станиславович</v>
      </c>
      <c r="O41" s="14" t="str">
        <f t="shared" si="1"/>
        <v>да</v>
      </c>
    </row>
    <row r="42">
      <c r="A42" s="8">
        <v>73.0</v>
      </c>
      <c r="B42" s="26" t="s">
        <v>108</v>
      </c>
      <c r="C42" s="26" t="s">
        <v>190</v>
      </c>
      <c r="D42" s="26" t="s">
        <v>191</v>
      </c>
      <c r="E42" s="26" t="s">
        <v>16</v>
      </c>
      <c r="F42" s="10" t="s">
        <v>24</v>
      </c>
      <c r="G42" s="10" t="s">
        <v>18</v>
      </c>
      <c r="H42" s="10"/>
      <c r="I42" s="10"/>
      <c r="J42" s="10"/>
      <c r="K42" s="31" t="s">
        <v>181</v>
      </c>
      <c r="L42" s="23" t="s">
        <v>192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6" t="s">
        <v>108</v>
      </c>
      <c r="C43" s="26" t="s">
        <v>193</v>
      </c>
      <c r="D43" s="26" t="s">
        <v>194</v>
      </c>
      <c r="E43" s="26" t="s">
        <v>16</v>
      </c>
      <c r="F43" s="10" t="s">
        <v>24</v>
      </c>
      <c r="G43" s="10" t="s">
        <v>18</v>
      </c>
      <c r="H43" s="10"/>
      <c r="I43" s="10"/>
      <c r="J43" s="10"/>
      <c r="K43" s="31" t="s">
        <v>107</v>
      </c>
      <c r="L43" s="32" t="s">
        <v>175</v>
      </c>
      <c r="N43" s="14" t="str">
        <f>IFERROR(__xludf.DUMMYFUNCTION("IFERROR(VLOOKUP(A43,IMPORTRANGE(""1JKYrYOBZQfsQ_9v3OK3daUockrnOgmzXdn8TvfuM9qs"",""Выборка!$A$2:$K$192""),11,0),"""")"),"Янина Полина Олеговна")</f>
        <v>Янина Полина Олеговна</v>
      </c>
      <c r="O43" s="14" t="str">
        <f t="shared" si="1"/>
        <v>да</v>
      </c>
    </row>
    <row r="44">
      <c r="A44" s="8">
        <v>90.0</v>
      </c>
      <c r="B44" s="26" t="s">
        <v>108</v>
      </c>
      <c r="C44" s="26" t="s">
        <v>195</v>
      </c>
      <c r="D44" s="26" t="s">
        <v>196</v>
      </c>
      <c r="E44" s="26" t="s">
        <v>16</v>
      </c>
      <c r="F44" s="10" t="s">
        <v>24</v>
      </c>
      <c r="G44" s="10" t="s">
        <v>18</v>
      </c>
      <c r="H44" s="10"/>
      <c r="I44" s="10"/>
      <c r="J44" s="16" t="s">
        <v>197</v>
      </c>
      <c r="K44" s="10" t="s">
        <v>169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6" t="s">
        <v>108</v>
      </c>
      <c r="C45" s="26" t="s">
        <v>198</v>
      </c>
      <c r="D45" s="26" t="s">
        <v>199</v>
      </c>
      <c r="E45" s="26" t="s">
        <v>16</v>
      </c>
      <c r="F45" s="10" t="s">
        <v>24</v>
      </c>
      <c r="G45" s="10" t="s">
        <v>18</v>
      </c>
      <c r="H45" s="10"/>
      <c r="I45" s="10"/>
      <c r="J45" s="10"/>
      <c r="K45" s="33" t="s">
        <v>186</v>
      </c>
      <c r="L45" s="34" t="s">
        <v>200</v>
      </c>
      <c r="N45" s="14" t="str">
        <f>IFERROR(__xludf.DUMMYFUNCTION("IFERROR(VLOOKUP(A45,IMPORTRANGE(""1JKYrYOBZQfsQ_9v3OK3daUockrnOgmzXdn8TvfuM9qs"",""Выборка!$A$2:$K$192""),11,0),"""")"),"Поддубная Светлана Мадхатовна")</f>
        <v>Поддубная Светлана Мадхатовна</v>
      </c>
      <c r="O45" s="14" t="str">
        <f t="shared" si="1"/>
        <v>да</v>
      </c>
    </row>
    <row r="46">
      <c r="A46" s="8">
        <v>123.0</v>
      </c>
      <c r="B46" s="26" t="s">
        <v>108</v>
      </c>
      <c r="C46" s="26" t="s">
        <v>201</v>
      </c>
      <c r="D46" s="26" t="s">
        <v>202</v>
      </c>
      <c r="E46" s="26" t="s">
        <v>16</v>
      </c>
      <c r="F46" s="10" t="s">
        <v>24</v>
      </c>
      <c r="G46" s="10" t="s">
        <v>18</v>
      </c>
      <c r="H46" s="10"/>
      <c r="I46" s="10"/>
      <c r="J46" s="16" t="s">
        <v>203</v>
      </c>
      <c r="K46" s="10" t="s">
        <v>204</v>
      </c>
      <c r="L46" s="10"/>
      <c r="N46" s="14" t="str">
        <f>IFERROR(__xludf.DUMMYFUNCTION("IFERROR(VLOOKUP(A46,IMPORTRANGE(""1JKYrYOBZQfsQ_9v3OK3daUockrnOgmzXdn8TvfuM9qs"",""Выборка!$A$2:$K$192""),11,0),"""")"),"Жесткова Маргарита Викторовна")</f>
        <v>Жесткова Маргарита Викторовна</v>
      </c>
      <c r="O46" s="14" t="str">
        <f t="shared" si="1"/>
        <v>да</v>
      </c>
    </row>
    <row r="47">
      <c r="A47" s="8">
        <v>94.0</v>
      </c>
      <c r="B47" s="26" t="s">
        <v>108</v>
      </c>
      <c r="C47" s="26" t="s">
        <v>205</v>
      </c>
      <c r="D47" s="26" t="s">
        <v>206</v>
      </c>
      <c r="E47" s="26" t="s">
        <v>207</v>
      </c>
      <c r="F47" s="10" t="s">
        <v>24</v>
      </c>
      <c r="G47" s="10" t="s">
        <v>18</v>
      </c>
      <c r="H47" s="27" t="s">
        <v>112</v>
      </c>
      <c r="I47" s="10"/>
      <c r="J47" s="16" t="s">
        <v>208</v>
      </c>
      <c r="K47" s="10" t="s">
        <v>209</v>
      </c>
      <c r="L47" s="10"/>
      <c r="N47" s="14" t="str">
        <f>IFERROR(__xludf.DUMMYFUNCTION("IFERROR(VLOOKUP(A47,IMPORTRANGE(""1JKYrYOBZQfsQ_9v3OK3daUockrnOgmzXdn8TvfuM9qs"",""Выборка!$A$2:$K$192""),11,0),"""")"),"Замена Белов Александр Сергеевич")</f>
        <v>Замена Белов Александр Сергеевич</v>
      </c>
      <c r="O47" s="14" t="str">
        <f t="shared" si="1"/>
        <v>нет</v>
      </c>
    </row>
    <row r="48">
      <c r="A48" s="8">
        <v>100.0</v>
      </c>
      <c r="B48" s="26" t="s">
        <v>108</v>
      </c>
      <c r="C48" s="26" t="s">
        <v>210</v>
      </c>
      <c r="D48" s="26" t="s">
        <v>211</v>
      </c>
      <c r="E48" s="26" t="s">
        <v>212</v>
      </c>
      <c r="F48" s="10" t="s">
        <v>24</v>
      </c>
      <c r="G48" s="10" t="s">
        <v>18</v>
      </c>
      <c r="H48" s="27" t="s">
        <v>112</v>
      </c>
      <c r="I48" s="10"/>
      <c r="J48" s="16" t="s">
        <v>213</v>
      </c>
      <c r="K48" s="19" t="s">
        <v>214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6" t="s">
        <v>108</v>
      </c>
      <c r="C49" s="26" t="s">
        <v>215</v>
      </c>
      <c r="D49" s="26" t="s">
        <v>216</v>
      </c>
      <c r="E49" s="26" t="s">
        <v>212</v>
      </c>
      <c r="F49" s="10" t="s">
        <v>24</v>
      </c>
      <c r="G49" s="10" t="s">
        <v>18</v>
      </c>
      <c r="H49" s="27" t="s">
        <v>112</v>
      </c>
      <c r="I49" s="10"/>
      <c r="J49" s="16" t="s">
        <v>217</v>
      </c>
      <c r="K49" s="10" t="s">
        <v>214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6" t="s">
        <v>108</v>
      </c>
      <c r="C50" s="26" t="s">
        <v>218</v>
      </c>
      <c r="D50" s="26" t="s">
        <v>219</v>
      </c>
      <c r="E50" s="26" t="s">
        <v>37</v>
      </c>
      <c r="F50" s="10" t="s">
        <v>24</v>
      </c>
      <c r="G50" s="10" t="s">
        <v>18</v>
      </c>
      <c r="H50" s="10"/>
      <c r="I50" s="10" t="s">
        <v>220</v>
      </c>
      <c r="J50" s="10"/>
      <c r="K50" s="10" t="s">
        <v>41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6" t="s">
        <v>108</v>
      </c>
      <c r="C51" s="26" t="s">
        <v>221</v>
      </c>
      <c r="D51" s="26" t="s">
        <v>222</v>
      </c>
      <c r="E51" s="26" t="s">
        <v>223</v>
      </c>
      <c r="F51" s="10" t="s">
        <v>24</v>
      </c>
      <c r="G51" s="10" t="s">
        <v>18</v>
      </c>
      <c r="H51" s="10"/>
      <c r="I51" s="10"/>
      <c r="J51" s="10"/>
      <c r="K51" s="31" t="s">
        <v>224</v>
      </c>
      <c r="L51" s="35" t="s">
        <v>225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6" t="s">
        <v>108</v>
      </c>
      <c r="C52" s="26" t="s">
        <v>226</v>
      </c>
      <c r="D52" s="26" t="s">
        <v>227</v>
      </c>
      <c r="E52" s="26" t="s">
        <v>228</v>
      </c>
      <c r="F52" s="10" t="s">
        <v>24</v>
      </c>
      <c r="G52" s="10" t="s">
        <v>18</v>
      </c>
      <c r="H52" s="10"/>
      <c r="I52" s="10"/>
      <c r="J52" s="10"/>
      <c r="K52" s="31" t="s">
        <v>229</v>
      </c>
      <c r="L52" s="32" t="s">
        <v>230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6" t="s">
        <v>108</v>
      </c>
      <c r="C53" s="26" t="s">
        <v>231</v>
      </c>
      <c r="D53" s="26" t="s">
        <v>232</v>
      </c>
      <c r="E53" s="26" t="s">
        <v>228</v>
      </c>
      <c r="F53" s="10" t="s">
        <v>24</v>
      </c>
      <c r="G53" s="10" t="s">
        <v>18</v>
      </c>
      <c r="H53" s="10"/>
      <c r="I53" s="10"/>
      <c r="J53" s="10"/>
      <c r="K53" s="31" t="s">
        <v>229</v>
      </c>
      <c r="L53" s="10" t="s">
        <v>156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6">
        <v>110.0</v>
      </c>
      <c r="B54" s="37" t="s">
        <v>108</v>
      </c>
      <c r="C54" s="26" t="s">
        <v>233</v>
      </c>
      <c r="D54" s="37" t="s">
        <v>234</v>
      </c>
      <c r="E54" s="37" t="s">
        <v>235</v>
      </c>
      <c r="F54" s="10" t="s">
        <v>24</v>
      </c>
      <c r="G54" s="10" t="s">
        <v>18</v>
      </c>
      <c r="H54" s="27" t="s">
        <v>112</v>
      </c>
      <c r="I54" s="10"/>
      <c r="J54" s="16" t="s">
        <v>236</v>
      </c>
      <c r="K54" s="10" t="s">
        <v>237</v>
      </c>
      <c r="L54" s="10"/>
      <c r="N54" s="14" t="str">
        <f>IFERROR(__xludf.DUMMYFUNCTION("IFERROR(VLOOKUP(A54,IMPORTRANGE(""1JKYrYOBZQfsQ_9v3OK3daUockrnOgmzXdn8TvfuM9qs"",""Выборка!$A$2:$K$192""),11,0),"""")"),"Пичуев Владислав Витальевич")</f>
        <v>Пичуев Владислав Витальевич</v>
      </c>
      <c r="O54" s="14" t="str">
        <f t="shared" si="1"/>
        <v>да</v>
      </c>
    </row>
    <row r="55">
      <c r="A55" s="8">
        <v>150.0</v>
      </c>
      <c r="B55" s="26" t="s">
        <v>108</v>
      </c>
      <c r="C55" s="26" t="s">
        <v>238</v>
      </c>
      <c r="D55" s="26" t="s">
        <v>239</v>
      </c>
      <c r="E55" s="26" t="s">
        <v>228</v>
      </c>
      <c r="F55" s="10" t="s">
        <v>24</v>
      </c>
      <c r="G55" s="10" t="s">
        <v>18</v>
      </c>
      <c r="H55" s="10"/>
      <c r="I55" s="10"/>
      <c r="J55" s="11"/>
      <c r="K55" s="31" t="s">
        <v>229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8" t="s">
        <v>240</v>
      </c>
      <c r="C56" s="38" t="s">
        <v>241</v>
      </c>
      <c r="D56" s="38" t="s">
        <v>242</v>
      </c>
      <c r="E56" s="38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243</v>
      </c>
      <c r="K56" s="10" t="s">
        <v>94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8" t="s">
        <v>240</v>
      </c>
      <c r="C57" s="38" t="s">
        <v>244</v>
      </c>
      <c r="D57" s="38" t="s">
        <v>245</v>
      </c>
      <c r="E57" s="38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246</v>
      </c>
      <c r="K57" s="10" t="s">
        <v>98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8">
        <v>78.0</v>
      </c>
      <c r="B58" s="38" t="s">
        <v>240</v>
      </c>
      <c r="C58" s="38" t="s">
        <v>247</v>
      </c>
      <c r="D58" s="38" t="s">
        <v>248</v>
      </c>
      <c r="E58" s="38" t="s">
        <v>16</v>
      </c>
      <c r="F58" s="10" t="s">
        <v>24</v>
      </c>
      <c r="G58" s="10" t="s">
        <v>18</v>
      </c>
      <c r="H58" s="15" t="s">
        <v>25</v>
      </c>
      <c r="I58" s="10"/>
      <c r="J58" s="12" t="s">
        <v>249</v>
      </c>
      <c r="K58" s="10" t="s">
        <v>107</v>
      </c>
      <c r="L58" s="10"/>
      <c r="N58" s="14" t="str">
        <f>IFERROR(__xludf.DUMMYFUNCTION("IFERROR(VLOOKUP(A58,IMPORTRANGE(""1JKYrYOBZQfsQ_9v3OK3daUockrnOgmzXdn8TvfuM9qs"",""Выборка!$A$2:$K$192""),11,0),"""")"),"Янина Полина Олеговна")</f>
        <v>Янина Полина Олеговна</v>
      </c>
      <c r="O58" s="14" t="str">
        <f t="shared" si="1"/>
        <v>да</v>
      </c>
    </row>
    <row r="59">
      <c r="A59" s="8">
        <v>87.0</v>
      </c>
      <c r="B59" s="38" t="s">
        <v>240</v>
      </c>
      <c r="C59" s="38" t="s">
        <v>250</v>
      </c>
      <c r="D59" s="38" t="s">
        <v>251</v>
      </c>
      <c r="E59" s="38" t="s">
        <v>16</v>
      </c>
      <c r="F59" s="10" t="s">
        <v>24</v>
      </c>
      <c r="G59" s="10" t="s">
        <v>18</v>
      </c>
      <c r="H59" s="27" t="s">
        <v>25</v>
      </c>
      <c r="I59" s="10"/>
      <c r="J59" s="12" t="s">
        <v>252</v>
      </c>
      <c r="K59" s="10" t="s">
        <v>169</v>
      </c>
      <c r="L59" s="10" t="s">
        <v>253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8" t="s">
        <v>240</v>
      </c>
      <c r="C60" s="38" t="s">
        <v>254</v>
      </c>
      <c r="D60" s="38" t="s">
        <v>255</v>
      </c>
      <c r="E60" s="38" t="s">
        <v>16</v>
      </c>
      <c r="F60" s="10" t="s">
        <v>24</v>
      </c>
      <c r="G60" s="10" t="s">
        <v>18</v>
      </c>
      <c r="H60" s="10"/>
      <c r="I60" s="10"/>
      <c r="J60" s="16" t="s">
        <v>256</v>
      </c>
      <c r="K60" s="10" t="s">
        <v>186</v>
      </c>
      <c r="L60" s="10" t="s">
        <v>257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8" t="s">
        <v>240</v>
      </c>
      <c r="C61" s="38" t="s">
        <v>258</v>
      </c>
      <c r="D61" s="38" t="s">
        <v>259</v>
      </c>
      <c r="E61" s="38" t="s">
        <v>16</v>
      </c>
      <c r="F61" s="10" t="s">
        <v>24</v>
      </c>
      <c r="G61" s="10" t="s">
        <v>18</v>
      </c>
      <c r="H61" s="27" t="s">
        <v>25</v>
      </c>
      <c r="I61" s="10"/>
      <c r="J61" s="16" t="s">
        <v>260</v>
      </c>
      <c r="K61" s="10" t="s">
        <v>189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8" t="s">
        <v>240</v>
      </c>
      <c r="C62" s="38" t="s">
        <v>261</v>
      </c>
      <c r="D62" s="38" t="s">
        <v>262</v>
      </c>
      <c r="E62" s="38" t="s">
        <v>16</v>
      </c>
      <c r="F62" s="10" t="s">
        <v>24</v>
      </c>
      <c r="G62" s="10" t="s">
        <v>18</v>
      </c>
      <c r="H62" s="27" t="s">
        <v>25</v>
      </c>
      <c r="I62" s="10"/>
      <c r="J62" s="16" t="s">
        <v>263</v>
      </c>
      <c r="K62" s="10" t="s">
        <v>164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8" t="s">
        <v>240</v>
      </c>
      <c r="C63" s="38" t="s">
        <v>264</v>
      </c>
      <c r="D63" s="38" t="s">
        <v>265</v>
      </c>
      <c r="E63" s="38" t="s">
        <v>37</v>
      </c>
      <c r="F63" s="10" t="s">
        <v>24</v>
      </c>
      <c r="G63" s="10" t="s">
        <v>18</v>
      </c>
      <c r="H63" s="10"/>
      <c r="I63" s="10"/>
      <c r="J63" s="10"/>
      <c r="K63" s="10" t="s">
        <v>41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8" t="s">
        <v>240</v>
      </c>
      <c r="C64" s="38" t="s">
        <v>266</v>
      </c>
      <c r="D64" s="38" t="s">
        <v>267</v>
      </c>
      <c r="E64" s="38" t="s">
        <v>16</v>
      </c>
      <c r="F64" s="18" t="s">
        <v>24</v>
      </c>
      <c r="G64" s="10" t="s">
        <v>18</v>
      </c>
      <c r="H64" s="10"/>
      <c r="I64" s="10"/>
      <c r="J64" s="16" t="s">
        <v>268</v>
      </c>
      <c r="K64" s="10" t="s">
        <v>169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8" t="s">
        <v>240</v>
      </c>
      <c r="C65" s="38" t="s">
        <v>269</v>
      </c>
      <c r="D65" s="38" t="s">
        <v>270</v>
      </c>
      <c r="E65" s="38" t="s">
        <v>16</v>
      </c>
      <c r="F65" s="18" t="s">
        <v>24</v>
      </c>
      <c r="G65" s="10" t="s">
        <v>18</v>
      </c>
      <c r="H65" s="10"/>
      <c r="I65" s="10"/>
      <c r="J65" s="10"/>
      <c r="K65" s="31" t="s">
        <v>189</v>
      </c>
      <c r="L65" s="32" t="s">
        <v>175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8" t="s">
        <v>240</v>
      </c>
      <c r="C66" s="38" t="s">
        <v>271</v>
      </c>
      <c r="D66" s="38" t="s">
        <v>272</v>
      </c>
      <c r="E66" s="38" t="s">
        <v>16</v>
      </c>
      <c r="F66" s="18" t="s">
        <v>24</v>
      </c>
      <c r="G66" s="10" t="s">
        <v>18</v>
      </c>
      <c r="H66" s="10"/>
      <c r="I66" s="10"/>
      <c r="J66" s="10"/>
      <c r="K66" s="31" t="s">
        <v>155</v>
      </c>
      <c r="L66" s="39" t="s">
        <v>273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6">
        <v>38.0</v>
      </c>
      <c r="B67" s="40" t="s">
        <v>240</v>
      </c>
      <c r="C67" s="40" t="s">
        <v>274</v>
      </c>
      <c r="D67" s="40" t="s">
        <v>275</v>
      </c>
      <c r="E67" s="40" t="s">
        <v>16</v>
      </c>
      <c r="F67" s="18" t="s">
        <v>24</v>
      </c>
      <c r="G67" s="10" t="s">
        <v>18</v>
      </c>
      <c r="H67" s="10"/>
      <c r="I67" s="10"/>
      <c r="J67" s="16" t="s">
        <v>276</v>
      </c>
      <c r="K67" s="10" t="s">
        <v>103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6">
        <v>5.0</v>
      </c>
      <c r="B68" s="40" t="s">
        <v>240</v>
      </c>
      <c r="C68" s="40" t="s">
        <v>277</v>
      </c>
      <c r="D68" s="40" t="s">
        <v>278</v>
      </c>
      <c r="E68" s="40" t="s">
        <v>279</v>
      </c>
      <c r="F68" s="18" t="s">
        <v>24</v>
      </c>
      <c r="G68" s="10" t="s">
        <v>18</v>
      </c>
      <c r="H68" s="27" t="s">
        <v>112</v>
      </c>
      <c r="I68" s="10"/>
      <c r="J68" s="16" t="s">
        <v>280</v>
      </c>
      <c r="K68" s="41" t="s">
        <v>281</v>
      </c>
      <c r="L68" s="39" t="s">
        <v>282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8" t="s">
        <v>240</v>
      </c>
      <c r="C69" s="38" t="s">
        <v>283</v>
      </c>
      <c r="D69" s="38" t="s">
        <v>284</v>
      </c>
      <c r="E69" s="38" t="s">
        <v>223</v>
      </c>
      <c r="F69" s="10" t="s">
        <v>24</v>
      </c>
      <c r="G69" s="10" t="s">
        <v>18</v>
      </c>
      <c r="H69" s="10"/>
      <c r="I69" s="10"/>
      <c r="J69" s="16" t="s">
        <v>285</v>
      </c>
      <c r="K69" s="18" t="s">
        <v>229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2" t="s">
        <v>286</v>
      </c>
      <c r="C70" s="42" t="s">
        <v>287</v>
      </c>
      <c r="D70" s="42" t="s">
        <v>288</v>
      </c>
      <c r="E70" s="42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289</v>
      </c>
      <c r="K70" s="10" t="s">
        <v>103</v>
      </c>
      <c r="L70" s="13" t="s">
        <v>290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2" t="s">
        <v>286</v>
      </c>
      <c r="C71" s="42" t="s">
        <v>291</v>
      </c>
      <c r="D71" s="42" t="s">
        <v>292</v>
      </c>
      <c r="E71" s="42" t="s">
        <v>16</v>
      </c>
      <c r="F71" s="10" t="s">
        <v>24</v>
      </c>
      <c r="G71" s="10" t="s">
        <v>18</v>
      </c>
      <c r="H71" s="27" t="s">
        <v>25</v>
      </c>
      <c r="I71" s="10" t="s">
        <v>293</v>
      </c>
      <c r="J71" s="16" t="s">
        <v>294</v>
      </c>
      <c r="K71" s="11" t="s">
        <v>98</v>
      </c>
      <c r="L71" s="13" t="s">
        <v>295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2" t="s">
        <v>286</v>
      </c>
      <c r="C72" s="42" t="s">
        <v>296</v>
      </c>
      <c r="D72" s="42" t="s">
        <v>297</v>
      </c>
      <c r="E72" s="42" t="s">
        <v>16</v>
      </c>
      <c r="F72" s="10" t="s">
        <v>24</v>
      </c>
      <c r="G72" s="10" t="s">
        <v>18</v>
      </c>
      <c r="H72" s="27" t="s">
        <v>25</v>
      </c>
      <c r="I72" s="10" t="s">
        <v>293</v>
      </c>
      <c r="J72" s="16" t="s">
        <v>298</v>
      </c>
      <c r="K72" s="10" t="s">
        <v>169</v>
      </c>
      <c r="L72" s="13" t="s">
        <v>299</v>
      </c>
      <c r="N72" s="14" t="str">
        <f>IFERROR(__xludf.DUMMYFUNCTION("IFERROR(VLOOKUP(A72,IMPORTRANGE(""1JKYrYOBZQfsQ_9v3OK3daUockrnOgmzXdn8TvfuM9qs"",""Выборка!$A$2:$K$192""),11,0),"""")"),"Репилов Иван Викторович")</f>
        <v>Репилов Иван Викторович</v>
      </c>
      <c r="O72" s="14" t="str">
        <f t="shared" si="1"/>
        <v>да</v>
      </c>
    </row>
    <row r="73">
      <c r="A73" s="8">
        <v>57.0</v>
      </c>
      <c r="B73" s="42" t="s">
        <v>286</v>
      </c>
      <c r="C73" s="42" t="s">
        <v>300</v>
      </c>
      <c r="D73" s="42" t="s">
        <v>301</v>
      </c>
      <c r="E73" s="42" t="s">
        <v>16</v>
      </c>
      <c r="F73" s="10" t="s">
        <v>17</v>
      </c>
      <c r="G73" s="10" t="s">
        <v>18</v>
      </c>
      <c r="H73" s="15" t="s">
        <v>25</v>
      </c>
      <c r="I73" s="43" t="s">
        <v>30</v>
      </c>
      <c r="J73" s="16" t="s">
        <v>302</v>
      </c>
      <c r="K73" s="10" t="s">
        <v>32</v>
      </c>
      <c r="L73" s="34" t="s">
        <v>303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2" t="s">
        <v>286</v>
      </c>
      <c r="C74" s="42" t="s">
        <v>304</v>
      </c>
      <c r="D74" s="42" t="s">
        <v>305</v>
      </c>
      <c r="E74" s="42" t="s">
        <v>16</v>
      </c>
      <c r="F74" s="10" t="s">
        <v>24</v>
      </c>
      <c r="G74" s="10" t="s">
        <v>18</v>
      </c>
      <c r="H74" s="27" t="s">
        <v>25</v>
      </c>
      <c r="I74" s="11" t="s">
        <v>293</v>
      </c>
      <c r="J74" s="16" t="s">
        <v>306</v>
      </c>
      <c r="K74" s="10" t="s">
        <v>307</v>
      </c>
      <c r="L74" s="13" t="s">
        <v>308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2" t="s">
        <v>286</v>
      </c>
      <c r="C75" s="42" t="s">
        <v>309</v>
      </c>
      <c r="D75" s="42" t="s">
        <v>310</v>
      </c>
      <c r="E75" s="42" t="s">
        <v>311</v>
      </c>
      <c r="F75" s="10" t="s">
        <v>24</v>
      </c>
      <c r="G75" s="10" t="s">
        <v>18</v>
      </c>
      <c r="H75" s="27" t="s">
        <v>112</v>
      </c>
      <c r="I75" s="10"/>
      <c r="J75" s="16" t="s">
        <v>312</v>
      </c>
      <c r="K75" s="10" t="s">
        <v>313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2" t="s">
        <v>286</v>
      </c>
      <c r="C76" s="42" t="s">
        <v>300</v>
      </c>
      <c r="D76" s="42" t="s">
        <v>314</v>
      </c>
      <c r="E76" s="42" t="s">
        <v>315</v>
      </c>
      <c r="F76" s="10" t="s">
        <v>24</v>
      </c>
      <c r="G76" s="10" t="s">
        <v>18</v>
      </c>
      <c r="H76" s="27" t="s">
        <v>112</v>
      </c>
      <c r="I76" s="10" t="s">
        <v>316</v>
      </c>
      <c r="J76" s="28" t="s">
        <v>317</v>
      </c>
      <c r="K76" s="10" t="s">
        <v>318</v>
      </c>
      <c r="L76" s="10" t="s">
        <v>319</v>
      </c>
      <c r="N76" s="14" t="str">
        <f>IFERROR(__xludf.DUMMYFUNCTION("IFERROR(VLOOKUP(A76,IMPORTRANGE(""1JKYrYOBZQfsQ_9v3OK3daUockrnOgmzXdn8TvfuM9qs"",""Выборка!$A$2:$K$192""),11,0),"""")"),"Казаков Павел Владимирович")</f>
        <v>Казаков Павел Владимирович</v>
      </c>
      <c r="O76" s="14" t="str">
        <f t="shared" si="1"/>
        <v>да</v>
      </c>
    </row>
    <row r="77">
      <c r="A77" s="36">
        <v>141.0</v>
      </c>
      <c r="B77" s="44" t="s">
        <v>286</v>
      </c>
      <c r="C77" s="44" t="s">
        <v>309</v>
      </c>
      <c r="D77" s="44" t="s">
        <v>320</v>
      </c>
      <c r="E77" s="44" t="s">
        <v>223</v>
      </c>
      <c r="F77" s="10" t="s">
        <v>17</v>
      </c>
      <c r="G77" s="10" t="s">
        <v>18</v>
      </c>
      <c r="H77" s="27" t="s">
        <v>112</v>
      </c>
      <c r="I77" s="10"/>
      <c r="J77" s="16" t="s">
        <v>321</v>
      </c>
      <c r="K77" s="10" t="s">
        <v>224</v>
      </c>
      <c r="L77" s="45" t="s">
        <v>322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2" t="s">
        <v>286</v>
      </c>
      <c r="C78" s="42" t="s">
        <v>287</v>
      </c>
      <c r="D78" s="42" t="s">
        <v>323</v>
      </c>
      <c r="E78" s="42" t="s">
        <v>315</v>
      </c>
      <c r="F78" s="10" t="s">
        <v>24</v>
      </c>
      <c r="G78" s="10" t="s">
        <v>18</v>
      </c>
      <c r="H78" s="15" t="s">
        <v>112</v>
      </c>
      <c r="I78" s="10"/>
      <c r="J78" s="12" t="s">
        <v>324</v>
      </c>
      <c r="K78" s="10" t="s">
        <v>224</v>
      </c>
      <c r="L78" s="18" t="s">
        <v>325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46" t="s">
        <v>326</v>
      </c>
      <c r="C79" s="46" t="s">
        <v>327</v>
      </c>
      <c r="D79" s="46" t="s">
        <v>328</v>
      </c>
      <c r="E79" s="46" t="s">
        <v>16</v>
      </c>
      <c r="F79" s="10" t="s">
        <v>24</v>
      </c>
      <c r="G79" s="10" t="s">
        <v>18</v>
      </c>
      <c r="H79" s="11"/>
      <c r="I79" s="10"/>
      <c r="J79" s="12" t="s">
        <v>329</v>
      </c>
      <c r="K79" s="10" t="s">
        <v>169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46" t="s">
        <v>326</v>
      </c>
      <c r="C80" s="46" t="s">
        <v>330</v>
      </c>
      <c r="D80" s="46" t="s">
        <v>331</v>
      </c>
      <c r="E80" s="46" t="s">
        <v>16</v>
      </c>
      <c r="F80" s="10" t="s">
        <v>24</v>
      </c>
      <c r="G80" s="10" t="s">
        <v>18</v>
      </c>
      <c r="H80" s="27" t="s">
        <v>25</v>
      </c>
      <c r="I80" s="10"/>
      <c r="J80" s="16" t="s">
        <v>332</v>
      </c>
      <c r="K80" s="10" t="s">
        <v>189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46" t="s">
        <v>326</v>
      </c>
      <c r="C81" s="46" t="s">
        <v>333</v>
      </c>
      <c r="D81" s="46" t="s">
        <v>334</v>
      </c>
      <c r="E81" s="46" t="s">
        <v>37</v>
      </c>
      <c r="F81" s="10" t="s">
        <v>24</v>
      </c>
      <c r="G81" s="10" t="s">
        <v>18</v>
      </c>
      <c r="H81" s="10"/>
      <c r="I81" s="10"/>
      <c r="J81" s="10"/>
      <c r="K81" s="10" t="s">
        <v>50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47"/>
      <c r="G82" s="48"/>
      <c r="H82" s="49"/>
      <c r="K82" s="47"/>
    </row>
    <row r="83">
      <c r="F83" s="47"/>
      <c r="G83" s="48"/>
      <c r="H83" s="49"/>
      <c r="K83" s="47"/>
    </row>
    <row r="84">
      <c r="F84" s="47"/>
      <c r="G84" s="48"/>
      <c r="H84" s="49"/>
      <c r="K84" s="47"/>
    </row>
    <row r="85">
      <c r="F85" s="47"/>
      <c r="G85" s="48"/>
      <c r="H85" s="49"/>
      <c r="K85" s="47"/>
    </row>
    <row r="86">
      <c r="F86" s="47"/>
      <c r="G86" s="48"/>
      <c r="H86" s="49"/>
      <c r="K86" s="47"/>
    </row>
    <row r="87">
      <c r="G87" s="48"/>
      <c r="H87" s="49"/>
      <c r="K87" s="47"/>
    </row>
    <row r="88">
      <c r="G88" s="48"/>
      <c r="H88" s="49"/>
      <c r="K88" s="47"/>
    </row>
    <row r="89">
      <c r="G89" s="48"/>
      <c r="H89" s="49"/>
      <c r="K89" s="47"/>
    </row>
    <row r="90">
      <c r="G90" s="48"/>
      <c r="H90" s="49"/>
      <c r="K90" s="47"/>
    </row>
    <row r="91">
      <c r="G91" s="48"/>
      <c r="H91" s="49"/>
      <c r="K91" s="47"/>
    </row>
    <row r="92">
      <c r="G92" s="48"/>
      <c r="H92" s="49"/>
      <c r="K92" s="47"/>
    </row>
    <row r="93">
      <c r="G93" s="48"/>
      <c r="H93" s="49"/>
      <c r="K93" s="47"/>
    </row>
    <row r="94">
      <c r="G94" s="48"/>
      <c r="H94" s="49"/>
      <c r="K94" s="47"/>
    </row>
    <row r="95">
      <c r="G95" s="48"/>
      <c r="H95" s="49"/>
      <c r="K95" s="47"/>
    </row>
    <row r="96">
      <c r="G96" s="48"/>
      <c r="H96" s="49"/>
      <c r="K96" s="47"/>
    </row>
    <row r="97">
      <c r="G97" s="48"/>
      <c r="H97" s="49"/>
      <c r="K97" s="47"/>
    </row>
    <row r="98">
      <c r="G98" s="48"/>
      <c r="H98" s="49"/>
      <c r="K98" s="47"/>
    </row>
    <row r="99">
      <c r="G99" s="48"/>
      <c r="H99" s="49"/>
      <c r="K99" s="47"/>
    </row>
    <row r="100">
      <c r="G100" s="48"/>
      <c r="H100" s="49"/>
      <c r="K100" s="47"/>
    </row>
    <row r="101">
      <c r="G101" s="48"/>
      <c r="H101" s="49"/>
      <c r="K101" s="47"/>
    </row>
    <row r="102">
      <c r="G102" s="48"/>
      <c r="H102" s="49"/>
      <c r="K102" s="47"/>
    </row>
    <row r="103">
      <c r="G103" s="48"/>
      <c r="H103" s="49"/>
      <c r="K103" s="47"/>
    </row>
    <row r="104">
      <c r="G104" s="48"/>
      <c r="H104" s="49"/>
      <c r="K104" s="47"/>
    </row>
    <row r="105">
      <c r="G105" s="48"/>
      <c r="H105" s="49"/>
      <c r="K105" s="47"/>
    </row>
    <row r="106">
      <c r="G106" s="48"/>
      <c r="H106" s="49"/>
      <c r="K106" s="47"/>
    </row>
    <row r="107">
      <c r="G107" s="48"/>
      <c r="H107" s="49"/>
      <c r="K107" s="47"/>
    </row>
    <row r="108">
      <c r="G108" s="48"/>
      <c r="H108" s="49"/>
      <c r="K108" s="47"/>
    </row>
    <row r="109">
      <c r="G109" s="48"/>
      <c r="H109" s="49"/>
      <c r="K109" s="47"/>
    </row>
    <row r="110">
      <c r="G110" s="48"/>
      <c r="H110" s="49"/>
      <c r="K110" s="47"/>
    </row>
    <row r="111">
      <c r="G111" s="48"/>
      <c r="H111" s="49"/>
      <c r="K111" s="47"/>
    </row>
    <row r="112">
      <c r="G112" s="48"/>
      <c r="H112" s="49"/>
      <c r="K112" s="47"/>
    </row>
    <row r="113">
      <c r="G113" s="48"/>
      <c r="H113" s="49"/>
      <c r="K113" s="47"/>
    </row>
    <row r="114">
      <c r="G114" s="48"/>
      <c r="H114" s="49"/>
      <c r="K114" s="47"/>
    </row>
    <row r="115">
      <c r="G115" s="48"/>
      <c r="H115" s="49"/>
      <c r="K115" s="47"/>
    </row>
    <row r="116">
      <c r="G116" s="48"/>
      <c r="H116" s="49"/>
      <c r="K116" s="47"/>
    </row>
    <row r="117">
      <c r="G117" s="48"/>
      <c r="H117" s="49"/>
      <c r="K117" s="47"/>
    </row>
    <row r="118">
      <c r="G118" s="48"/>
      <c r="H118" s="49"/>
      <c r="K118" s="47"/>
    </row>
    <row r="119">
      <c r="G119" s="48"/>
      <c r="H119" s="49"/>
      <c r="K119" s="47"/>
    </row>
    <row r="120">
      <c r="G120" s="48"/>
      <c r="H120" s="49"/>
      <c r="K120" s="47"/>
    </row>
    <row r="121">
      <c r="G121" s="48"/>
      <c r="H121" s="49"/>
      <c r="K121" s="47"/>
    </row>
    <row r="122">
      <c r="G122" s="48"/>
      <c r="H122" s="49"/>
      <c r="K122" s="47"/>
    </row>
    <row r="123">
      <c r="G123" s="48"/>
      <c r="H123" s="49"/>
      <c r="K123" s="47"/>
    </row>
    <row r="124">
      <c r="G124" s="48"/>
      <c r="H124" s="49"/>
      <c r="K124" s="47"/>
    </row>
    <row r="125">
      <c r="G125" s="48"/>
      <c r="H125" s="49"/>
      <c r="K125" s="47"/>
    </row>
    <row r="126">
      <c r="G126" s="48"/>
      <c r="H126" s="49"/>
      <c r="K126" s="47"/>
    </row>
    <row r="127">
      <c r="G127" s="48"/>
      <c r="H127" s="49"/>
      <c r="K127" s="47"/>
    </row>
    <row r="128">
      <c r="G128" s="48"/>
      <c r="H128" s="49"/>
      <c r="K128" s="47"/>
    </row>
    <row r="129">
      <c r="G129" s="48"/>
      <c r="H129" s="49"/>
      <c r="K129" s="47"/>
    </row>
    <row r="130">
      <c r="G130" s="48"/>
      <c r="H130" s="49"/>
      <c r="K130" s="47"/>
    </row>
    <row r="131">
      <c r="G131" s="48"/>
      <c r="H131" s="49"/>
      <c r="K131" s="47"/>
    </row>
    <row r="132">
      <c r="G132" s="48"/>
      <c r="H132" s="49"/>
      <c r="K132" s="47"/>
    </row>
    <row r="133">
      <c r="G133" s="48"/>
      <c r="H133" s="49"/>
      <c r="K133" s="47"/>
    </row>
    <row r="134">
      <c r="G134" s="48"/>
      <c r="H134" s="49"/>
      <c r="K134" s="47"/>
    </row>
    <row r="135">
      <c r="G135" s="48"/>
      <c r="H135" s="49"/>
      <c r="K135" s="47"/>
    </row>
    <row r="136">
      <c r="G136" s="48"/>
      <c r="H136" s="49"/>
      <c r="K136" s="47"/>
    </row>
    <row r="137">
      <c r="G137" s="48"/>
      <c r="H137" s="49"/>
      <c r="K137" s="47"/>
    </row>
    <row r="138">
      <c r="G138" s="48"/>
      <c r="H138" s="49"/>
      <c r="K138" s="47"/>
    </row>
    <row r="139">
      <c r="G139" s="48"/>
      <c r="H139" s="49"/>
      <c r="K139" s="47"/>
    </row>
    <row r="140">
      <c r="G140" s="48"/>
      <c r="H140" s="49"/>
      <c r="K140" s="47"/>
    </row>
    <row r="141">
      <c r="G141" s="48"/>
      <c r="H141" s="49"/>
      <c r="K141" s="47"/>
    </row>
    <row r="142">
      <c r="G142" s="48"/>
      <c r="H142" s="49"/>
      <c r="K142" s="47"/>
    </row>
    <row r="143">
      <c r="G143" s="48"/>
      <c r="H143" s="49"/>
      <c r="K143" s="47"/>
    </row>
    <row r="144">
      <c r="G144" s="48"/>
      <c r="H144" s="49"/>
      <c r="K144" s="47"/>
    </row>
    <row r="145">
      <c r="G145" s="48"/>
      <c r="H145" s="49"/>
      <c r="K145" s="47"/>
    </row>
    <row r="146">
      <c r="G146" s="48"/>
      <c r="H146" s="49"/>
      <c r="K146" s="47"/>
    </row>
    <row r="147">
      <c r="G147" s="48"/>
      <c r="H147" s="49"/>
      <c r="K147" s="47"/>
    </row>
    <row r="148">
      <c r="G148" s="48"/>
      <c r="H148" s="49"/>
      <c r="K148" s="47"/>
    </row>
    <row r="149">
      <c r="G149" s="48"/>
      <c r="H149" s="49"/>
      <c r="K149" s="47"/>
    </row>
    <row r="150">
      <c r="G150" s="48"/>
      <c r="H150" s="49"/>
      <c r="K150" s="47"/>
    </row>
    <row r="151">
      <c r="G151" s="48"/>
      <c r="H151" s="49"/>
      <c r="K151" s="47"/>
    </row>
    <row r="152">
      <c r="G152" s="48"/>
      <c r="H152" s="49"/>
      <c r="K152" s="47"/>
    </row>
    <row r="153">
      <c r="G153" s="48"/>
      <c r="H153" s="49"/>
      <c r="K153" s="47"/>
    </row>
    <row r="154">
      <c r="G154" s="48"/>
      <c r="H154" s="49"/>
      <c r="K154" s="47"/>
    </row>
    <row r="155">
      <c r="G155" s="48"/>
      <c r="H155" s="49"/>
      <c r="K155" s="47"/>
    </row>
    <row r="156">
      <c r="G156" s="48"/>
      <c r="H156" s="49"/>
      <c r="K156" s="47"/>
    </row>
    <row r="157">
      <c r="G157" s="48"/>
      <c r="H157" s="49"/>
      <c r="K157" s="47"/>
    </row>
    <row r="158">
      <c r="G158" s="48"/>
      <c r="H158" s="49"/>
      <c r="K158" s="47"/>
    </row>
    <row r="159">
      <c r="G159" s="48"/>
      <c r="H159" s="49"/>
      <c r="K159" s="47"/>
    </row>
    <row r="160">
      <c r="G160" s="48"/>
      <c r="H160" s="49"/>
      <c r="K160" s="47"/>
    </row>
    <row r="161">
      <c r="G161" s="48"/>
      <c r="H161" s="49"/>
      <c r="K161" s="47"/>
    </row>
    <row r="162">
      <c r="G162" s="48"/>
      <c r="H162" s="49"/>
      <c r="K162" s="47"/>
    </row>
    <row r="163">
      <c r="G163" s="48"/>
      <c r="H163" s="49"/>
      <c r="K163" s="47"/>
    </row>
    <row r="164">
      <c r="G164" s="48"/>
      <c r="H164" s="49"/>
      <c r="K164" s="47"/>
    </row>
    <row r="165">
      <c r="G165" s="48"/>
      <c r="H165" s="49"/>
      <c r="K165" s="47"/>
    </row>
    <row r="166">
      <c r="G166" s="48"/>
      <c r="H166" s="49"/>
      <c r="K166" s="47"/>
    </row>
    <row r="167">
      <c r="G167" s="48"/>
      <c r="H167" s="49"/>
      <c r="K167" s="47"/>
    </row>
    <row r="168">
      <c r="G168" s="48"/>
      <c r="H168" s="49"/>
      <c r="K168" s="47"/>
    </row>
    <row r="169">
      <c r="G169" s="48"/>
      <c r="H169" s="49"/>
      <c r="K169" s="47"/>
    </row>
    <row r="170">
      <c r="G170" s="48"/>
      <c r="H170" s="49"/>
      <c r="K170" s="47"/>
    </row>
    <row r="171">
      <c r="G171" s="48"/>
      <c r="H171" s="49"/>
      <c r="K171" s="47"/>
    </row>
    <row r="172">
      <c r="G172" s="48"/>
      <c r="H172" s="49"/>
      <c r="K172" s="47"/>
    </row>
    <row r="173">
      <c r="G173" s="48"/>
      <c r="H173" s="49"/>
      <c r="K173" s="47"/>
    </row>
    <row r="174">
      <c r="G174" s="48"/>
      <c r="H174" s="49"/>
      <c r="K174" s="47"/>
    </row>
    <row r="175">
      <c r="G175" s="48"/>
      <c r="H175" s="49"/>
      <c r="K175" s="47"/>
    </row>
    <row r="176">
      <c r="G176" s="48"/>
      <c r="H176" s="49"/>
      <c r="K176" s="47"/>
    </row>
    <row r="177">
      <c r="G177" s="48"/>
      <c r="H177" s="49"/>
      <c r="K177" s="47"/>
    </row>
    <row r="178">
      <c r="G178" s="48"/>
      <c r="H178" s="49"/>
      <c r="K178" s="47"/>
    </row>
    <row r="179">
      <c r="G179" s="48"/>
      <c r="H179" s="49"/>
      <c r="K179" s="47"/>
    </row>
    <row r="180">
      <c r="G180" s="48"/>
      <c r="H180" s="49"/>
      <c r="K180" s="47"/>
    </row>
    <row r="181">
      <c r="G181" s="48"/>
      <c r="H181" s="49"/>
      <c r="K181" s="47"/>
    </row>
    <row r="182">
      <c r="G182" s="48"/>
      <c r="H182" s="49"/>
      <c r="K182" s="47"/>
    </row>
    <row r="183">
      <c r="G183" s="48"/>
      <c r="H183" s="49"/>
      <c r="K183" s="47"/>
    </row>
    <row r="184">
      <c r="G184" s="48"/>
      <c r="H184" s="49"/>
      <c r="K184" s="47"/>
    </row>
    <row r="185">
      <c r="G185" s="48"/>
      <c r="H185" s="49"/>
      <c r="K185" s="47"/>
    </row>
    <row r="186">
      <c r="G186" s="48"/>
      <c r="H186" s="49"/>
      <c r="K186" s="47"/>
    </row>
    <row r="187">
      <c r="G187" s="48"/>
      <c r="H187" s="49"/>
      <c r="K187" s="47"/>
    </row>
    <row r="188">
      <c r="G188" s="48"/>
      <c r="H188" s="49"/>
      <c r="K188" s="47"/>
    </row>
    <row r="189">
      <c r="G189" s="48"/>
      <c r="H189" s="49"/>
      <c r="K189" s="47"/>
    </row>
    <row r="190">
      <c r="G190" s="48"/>
      <c r="H190" s="49"/>
      <c r="K190" s="47"/>
    </row>
    <row r="191">
      <c r="G191" s="48"/>
      <c r="H191" s="49"/>
      <c r="K191" s="47"/>
    </row>
    <row r="192">
      <c r="G192" s="48"/>
      <c r="H192" s="49"/>
      <c r="K192" s="47"/>
    </row>
    <row r="193">
      <c r="G193" s="48"/>
      <c r="H193" s="49"/>
      <c r="K193" s="47"/>
    </row>
    <row r="194">
      <c r="G194" s="48"/>
      <c r="H194" s="49"/>
      <c r="K194" s="47"/>
    </row>
    <row r="195">
      <c r="G195" s="48"/>
      <c r="H195" s="49"/>
      <c r="K195" s="47"/>
    </row>
    <row r="196">
      <c r="G196" s="48"/>
      <c r="H196" s="49"/>
      <c r="K196" s="47"/>
    </row>
    <row r="197">
      <c r="G197" s="48"/>
      <c r="H197" s="49"/>
      <c r="K197" s="47"/>
    </row>
    <row r="198">
      <c r="G198" s="48"/>
      <c r="H198" s="49"/>
      <c r="K198" s="47"/>
    </row>
    <row r="199">
      <c r="G199" s="48"/>
      <c r="H199" s="49"/>
      <c r="K199" s="47"/>
    </row>
    <row r="200">
      <c r="G200" s="48"/>
      <c r="H200" s="49"/>
      <c r="K200" s="47"/>
    </row>
    <row r="201">
      <c r="G201" s="48"/>
      <c r="H201" s="49"/>
      <c r="K201" s="47"/>
    </row>
    <row r="202">
      <c r="G202" s="48"/>
      <c r="H202" s="49"/>
      <c r="K202" s="47"/>
    </row>
    <row r="203">
      <c r="G203" s="48"/>
      <c r="H203" s="49"/>
      <c r="K203" s="47"/>
    </row>
    <row r="204">
      <c r="G204" s="48"/>
      <c r="H204" s="49"/>
      <c r="K204" s="47"/>
    </row>
    <row r="205">
      <c r="G205" s="48"/>
      <c r="H205" s="49"/>
      <c r="K205" s="47"/>
    </row>
    <row r="206">
      <c r="G206" s="48"/>
      <c r="H206" s="49"/>
      <c r="K206" s="47"/>
    </row>
    <row r="207">
      <c r="G207" s="48"/>
      <c r="H207" s="49"/>
      <c r="K207" s="47"/>
    </row>
    <row r="208">
      <c r="G208" s="48"/>
      <c r="H208" s="49"/>
      <c r="K208" s="47"/>
    </row>
    <row r="209">
      <c r="G209" s="48"/>
      <c r="H209" s="49"/>
      <c r="K209" s="47"/>
    </row>
    <row r="210">
      <c r="G210" s="48"/>
      <c r="H210" s="49"/>
      <c r="K210" s="47"/>
    </row>
    <row r="211">
      <c r="G211" s="48"/>
      <c r="H211" s="49"/>
      <c r="K211" s="47"/>
    </row>
    <row r="212">
      <c r="G212" s="48"/>
      <c r="H212" s="49"/>
      <c r="K212" s="47"/>
    </row>
    <row r="213">
      <c r="G213" s="48"/>
      <c r="H213" s="49"/>
      <c r="K213" s="47"/>
    </row>
    <row r="214">
      <c r="G214" s="48"/>
      <c r="H214" s="49"/>
      <c r="K214" s="47"/>
    </row>
    <row r="215">
      <c r="G215" s="48"/>
      <c r="H215" s="49"/>
      <c r="K215" s="47"/>
    </row>
    <row r="216">
      <c r="G216" s="48"/>
      <c r="H216" s="49"/>
      <c r="K216" s="47"/>
    </row>
    <row r="217">
      <c r="G217" s="48"/>
      <c r="H217" s="49"/>
      <c r="K217" s="47"/>
    </row>
    <row r="218">
      <c r="G218" s="48"/>
      <c r="H218" s="49"/>
      <c r="K218" s="47"/>
    </row>
    <row r="219">
      <c r="G219" s="48"/>
      <c r="H219" s="49"/>
      <c r="K219" s="47"/>
    </row>
    <row r="220">
      <c r="G220" s="48"/>
      <c r="H220" s="49"/>
      <c r="K220" s="47"/>
    </row>
    <row r="221">
      <c r="G221" s="48"/>
      <c r="H221" s="49"/>
      <c r="K221" s="47"/>
    </row>
    <row r="222">
      <c r="G222" s="48"/>
      <c r="H222" s="49"/>
      <c r="K222" s="47"/>
    </row>
    <row r="223">
      <c r="G223" s="48"/>
      <c r="H223" s="49"/>
      <c r="K223" s="47"/>
    </row>
    <row r="224">
      <c r="G224" s="48"/>
      <c r="H224" s="49"/>
      <c r="K224" s="47"/>
    </row>
    <row r="225">
      <c r="G225" s="48"/>
      <c r="H225" s="49"/>
      <c r="K225" s="47"/>
    </row>
    <row r="226">
      <c r="G226" s="48"/>
      <c r="H226" s="49"/>
      <c r="K226" s="47"/>
    </row>
    <row r="227">
      <c r="G227" s="48"/>
      <c r="H227" s="49"/>
      <c r="K227" s="47"/>
    </row>
    <row r="228">
      <c r="G228" s="48"/>
      <c r="H228" s="49"/>
      <c r="K228" s="47"/>
    </row>
    <row r="229">
      <c r="G229" s="48"/>
      <c r="H229" s="49"/>
      <c r="K229" s="47"/>
    </row>
    <row r="230">
      <c r="G230" s="48"/>
      <c r="H230" s="49"/>
      <c r="K230" s="47"/>
    </row>
    <row r="231">
      <c r="G231" s="48"/>
      <c r="H231" s="49"/>
      <c r="K231" s="47"/>
    </row>
    <row r="232">
      <c r="G232" s="48"/>
      <c r="H232" s="49"/>
      <c r="K232" s="47"/>
    </row>
    <row r="233">
      <c r="G233" s="48"/>
      <c r="H233" s="49"/>
      <c r="K233" s="47"/>
    </row>
    <row r="234">
      <c r="G234" s="48"/>
      <c r="H234" s="49"/>
      <c r="K234" s="47"/>
    </row>
    <row r="235">
      <c r="G235" s="48"/>
      <c r="H235" s="49"/>
      <c r="K235" s="47"/>
    </row>
    <row r="236">
      <c r="G236" s="48"/>
      <c r="H236" s="49"/>
      <c r="K236" s="47"/>
    </row>
    <row r="237">
      <c r="G237" s="48"/>
      <c r="H237" s="49"/>
      <c r="K237" s="47"/>
    </row>
    <row r="238">
      <c r="G238" s="48"/>
      <c r="H238" s="49"/>
      <c r="K238" s="47"/>
    </row>
    <row r="239">
      <c r="G239" s="48"/>
      <c r="H239" s="49"/>
      <c r="K239" s="47"/>
    </row>
    <row r="240">
      <c r="G240" s="48"/>
      <c r="H240" s="49"/>
      <c r="K240" s="47"/>
    </row>
    <row r="241">
      <c r="G241" s="48"/>
      <c r="H241" s="49"/>
      <c r="K241" s="47"/>
    </row>
    <row r="242">
      <c r="G242" s="48"/>
      <c r="H242" s="49"/>
      <c r="K242" s="47"/>
    </row>
    <row r="243">
      <c r="G243" s="48"/>
      <c r="H243" s="49"/>
      <c r="K243" s="47"/>
    </row>
    <row r="244">
      <c r="G244" s="48"/>
      <c r="H244" s="49"/>
      <c r="K244" s="47"/>
    </row>
    <row r="245">
      <c r="G245" s="48"/>
      <c r="H245" s="49"/>
      <c r="K245" s="47"/>
    </row>
    <row r="246">
      <c r="G246" s="48"/>
      <c r="H246" s="49"/>
      <c r="K246" s="47"/>
    </row>
    <row r="247">
      <c r="G247" s="48"/>
      <c r="H247" s="49"/>
      <c r="K247" s="47"/>
    </row>
    <row r="248">
      <c r="G248" s="48"/>
      <c r="H248" s="49"/>
      <c r="K248" s="47"/>
    </row>
    <row r="249">
      <c r="G249" s="48"/>
      <c r="H249" s="49"/>
      <c r="K249" s="47"/>
    </row>
    <row r="250">
      <c r="G250" s="48"/>
      <c r="H250" s="49"/>
      <c r="K250" s="47"/>
    </row>
    <row r="251">
      <c r="G251" s="48"/>
      <c r="H251" s="49"/>
      <c r="K251" s="47"/>
    </row>
    <row r="252">
      <c r="G252" s="48"/>
      <c r="H252" s="49"/>
      <c r="K252" s="47"/>
    </row>
    <row r="253">
      <c r="G253" s="48"/>
      <c r="H253" s="49"/>
      <c r="K253" s="47"/>
    </row>
    <row r="254">
      <c r="G254" s="48"/>
      <c r="H254" s="49"/>
      <c r="K254" s="47"/>
    </row>
    <row r="255">
      <c r="G255" s="48"/>
      <c r="H255" s="49"/>
      <c r="K255" s="47"/>
    </row>
    <row r="256">
      <c r="G256" s="48"/>
      <c r="H256" s="49"/>
      <c r="K256" s="47"/>
    </row>
    <row r="257">
      <c r="G257" s="48"/>
      <c r="H257" s="49"/>
      <c r="K257" s="47"/>
    </row>
    <row r="258">
      <c r="G258" s="48"/>
      <c r="H258" s="49"/>
      <c r="K258" s="47"/>
    </row>
    <row r="259">
      <c r="G259" s="48"/>
      <c r="H259" s="49"/>
      <c r="K259" s="47"/>
    </row>
    <row r="260">
      <c r="G260" s="48"/>
      <c r="H260" s="49"/>
      <c r="K260" s="47"/>
    </row>
    <row r="261">
      <c r="G261" s="48"/>
      <c r="H261" s="49"/>
      <c r="K261" s="47"/>
    </row>
    <row r="262">
      <c r="G262" s="48"/>
      <c r="H262" s="49"/>
      <c r="K262" s="47"/>
    </row>
    <row r="263">
      <c r="G263" s="48"/>
      <c r="H263" s="49"/>
      <c r="K263" s="47"/>
    </row>
    <row r="264">
      <c r="G264" s="48"/>
      <c r="H264" s="49"/>
      <c r="K264" s="47"/>
    </row>
    <row r="265">
      <c r="G265" s="48"/>
      <c r="H265" s="49"/>
      <c r="K265" s="47"/>
    </row>
    <row r="266">
      <c r="G266" s="48"/>
      <c r="H266" s="49"/>
      <c r="K266" s="47"/>
    </row>
    <row r="267">
      <c r="G267" s="48"/>
      <c r="H267" s="49"/>
      <c r="K267" s="47"/>
    </row>
    <row r="268">
      <c r="G268" s="48"/>
      <c r="H268" s="49"/>
      <c r="K268" s="47"/>
    </row>
    <row r="269">
      <c r="G269" s="48"/>
      <c r="H269" s="49"/>
      <c r="K269" s="47"/>
    </row>
    <row r="270">
      <c r="G270" s="48"/>
      <c r="H270" s="49"/>
      <c r="K270" s="47"/>
    </row>
    <row r="271">
      <c r="G271" s="48"/>
      <c r="H271" s="49"/>
      <c r="K271" s="47"/>
    </row>
    <row r="272">
      <c r="G272" s="48"/>
      <c r="H272" s="49"/>
      <c r="K272" s="47"/>
    </row>
    <row r="273">
      <c r="G273" s="48"/>
      <c r="H273" s="49"/>
      <c r="K273" s="47"/>
    </row>
    <row r="274">
      <c r="G274" s="48"/>
      <c r="H274" s="49"/>
      <c r="K274" s="47"/>
    </row>
    <row r="275">
      <c r="G275" s="48"/>
      <c r="H275" s="49"/>
      <c r="K275" s="47"/>
    </row>
    <row r="276">
      <c r="G276" s="48"/>
      <c r="H276" s="49"/>
      <c r="K276" s="47"/>
    </row>
    <row r="277">
      <c r="G277" s="48"/>
      <c r="H277" s="49"/>
      <c r="K277" s="47"/>
    </row>
    <row r="278">
      <c r="G278" s="48"/>
      <c r="H278" s="49"/>
      <c r="K278" s="47"/>
    </row>
    <row r="279">
      <c r="G279" s="48"/>
      <c r="H279" s="49"/>
      <c r="K279" s="47"/>
    </row>
    <row r="280">
      <c r="G280" s="48"/>
      <c r="H280" s="49"/>
      <c r="K280" s="47"/>
    </row>
    <row r="281">
      <c r="G281" s="48"/>
      <c r="H281" s="49"/>
      <c r="K281" s="47"/>
    </row>
    <row r="282">
      <c r="G282" s="48"/>
      <c r="H282" s="49"/>
      <c r="K282" s="47"/>
    </row>
    <row r="283">
      <c r="G283" s="48"/>
      <c r="H283" s="49"/>
      <c r="K283" s="47"/>
    </row>
    <row r="284">
      <c r="G284" s="48"/>
      <c r="H284" s="49"/>
      <c r="K284" s="47"/>
    </row>
    <row r="285">
      <c r="G285" s="48"/>
      <c r="H285" s="49"/>
      <c r="K285" s="47"/>
    </row>
    <row r="286">
      <c r="G286" s="48"/>
      <c r="H286" s="49"/>
      <c r="K286" s="47"/>
    </row>
    <row r="287">
      <c r="G287" s="48"/>
      <c r="H287" s="49"/>
      <c r="K287" s="47"/>
    </row>
    <row r="288">
      <c r="G288" s="48"/>
      <c r="H288" s="49"/>
      <c r="K288" s="47"/>
    </row>
    <row r="289">
      <c r="G289" s="48"/>
      <c r="H289" s="49"/>
      <c r="K289" s="47"/>
    </row>
    <row r="290">
      <c r="G290" s="48"/>
      <c r="H290" s="49"/>
      <c r="K290" s="47"/>
    </row>
    <row r="291">
      <c r="G291" s="48"/>
      <c r="H291" s="49"/>
      <c r="K291" s="47"/>
    </row>
    <row r="292">
      <c r="G292" s="48"/>
      <c r="H292" s="49"/>
      <c r="K292" s="47"/>
    </row>
    <row r="293">
      <c r="G293" s="48"/>
      <c r="H293" s="49"/>
      <c r="K293" s="47"/>
    </row>
    <row r="294">
      <c r="G294" s="48"/>
      <c r="H294" s="49"/>
      <c r="K294" s="47"/>
    </row>
    <row r="295">
      <c r="G295" s="48"/>
      <c r="H295" s="49"/>
      <c r="K295" s="47"/>
    </row>
    <row r="296">
      <c r="G296" s="48"/>
      <c r="H296" s="49"/>
      <c r="K296" s="47"/>
    </row>
    <row r="297">
      <c r="G297" s="48"/>
      <c r="H297" s="49"/>
      <c r="K297" s="47"/>
    </row>
    <row r="298">
      <c r="G298" s="48"/>
      <c r="H298" s="49"/>
      <c r="K298" s="47"/>
    </row>
    <row r="299">
      <c r="G299" s="48"/>
      <c r="H299" s="49"/>
      <c r="K299" s="47"/>
    </row>
    <row r="300">
      <c r="G300" s="48"/>
      <c r="H300" s="49"/>
      <c r="K300" s="47"/>
    </row>
    <row r="301">
      <c r="G301" s="48"/>
      <c r="H301" s="49"/>
      <c r="K301" s="47"/>
    </row>
    <row r="302">
      <c r="G302" s="48"/>
      <c r="H302" s="49"/>
      <c r="K302" s="47"/>
    </row>
    <row r="303">
      <c r="G303" s="48"/>
      <c r="H303" s="49"/>
      <c r="K303" s="47"/>
    </row>
    <row r="304">
      <c r="G304" s="48"/>
      <c r="H304" s="49"/>
      <c r="K304" s="47"/>
    </row>
    <row r="305">
      <c r="G305" s="48"/>
      <c r="H305" s="49"/>
      <c r="K305" s="47"/>
    </row>
    <row r="306">
      <c r="G306" s="48"/>
      <c r="H306" s="49"/>
      <c r="K306" s="47"/>
    </row>
    <row r="307">
      <c r="G307" s="48"/>
      <c r="H307" s="49"/>
      <c r="K307" s="47"/>
    </row>
    <row r="308">
      <c r="G308" s="48"/>
      <c r="H308" s="49"/>
      <c r="K308" s="47"/>
    </row>
    <row r="309">
      <c r="G309" s="48"/>
      <c r="H309" s="49"/>
      <c r="K309" s="47"/>
    </row>
    <row r="310">
      <c r="G310" s="48"/>
      <c r="H310" s="49"/>
      <c r="K310" s="47"/>
    </row>
    <row r="311">
      <c r="G311" s="48"/>
      <c r="H311" s="49"/>
      <c r="K311" s="47"/>
    </row>
    <row r="312">
      <c r="G312" s="48"/>
      <c r="H312" s="49"/>
      <c r="K312" s="47"/>
    </row>
    <row r="313">
      <c r="G313" s="48"/>
      <c r="H313" s="49"/>
      <c r="K313" s="47"/>
    </row>
    <row r="314">
      <c r="G314" s="48"/>
      <c r="H314" s="49"/>
      <c r="K314" s="47"/>
    </row>
    <row r="315">
      <c r="G315" s="48"/>
      <c r="H315" s="49"/>
      <c r="K315" s="47"/>
    </row>
    <row r="316">
      <c r="G316" s="48"/>
      <c r="H316" s="49"/>
      <c r="K316" s="47"/>
    </row>
    <row r="317">
      <c r="G317" s="48"/>
      <c r="H317" s="49"/>
      <c r="K317" s="47"/>
    </row>
    <row r="318">
      <c r="G318" s="48"/>
      <c r="H318" s="49"/>
      <c r="K318" s="47"/>
    </row>
    <row r="319">
      <c r="G319" s="48"/>
      <c r="H319" s="49"/>
      <c r="K319" s="47"/>
    </row>
    <row r="320">
      <c r="G320" s="48"/>
      <c r="H320" s="49"/>
      <c r="K320" s="47"/>
    </row>
    <row r="321">
      <c r="G321" s="48"/>
      <c r="H321" s="49"/>
      <c r="K321" s="47"/>
    </row>
    <row r="322">
      <c r="G322" s="48"/>
      <c r="H322" s="49"/>
      <c r="K322" s="47"/>
    </row>
    <row r="323">
      <c r="G323" s="48"/>
      <c r="H323" s="49"/>
      <c r="K323" s="47"/>
    </row>
    <row r="324">
      <c r="G324" s="48"/>
      <c r="H324" s="49"/>
      <c r="K324" s="47"/>
    </row>
    <row r="325">
      <c r="G325" s="48"/>
      <c r="H325" s="49"/>
      <c r="K325" s="47"/>
    </row>
    <row r="326">
      <c r="G326" s="48"/>
      <c r="H326" s="49"/>
      <c r="K326" s="47"/>
    </row>
    <row r="327">
      <c r="G327" s="48"/>
      <c r="H327" s="49"/>
      <c r="K327" s="47"/>
    </row>
    <row r="328">
      <c r="G328" s="48"/>
      <c r="H328" s="49"/>
      <c r="K328" s="47"/>
    </row>
    <row r="329">
      <c r="G329" s="48"/>
      <c r="H329" s="49"/>
      <c r="K329" s="47"/>
    </row>
    <row r="330">
      <c r="G330" s="48"/>
      <c r="H330" s="49"/>
      <c r="K330" s="47"/>
    </row>
    <row r="331">
      <c r="G331" s="48"/>
      <c r="H331" s="49"/>
      <c r="K331" s="47"/>
    </row>
    <row r="332">
      <c r="G332" s="48"/>
      <c r="H332" s="49"/>
      <c r="K332" s="47"/>
    </row>
    <row r="333">
      <c r="G333" s="48"/>
      <c r="H333" s="49"/>
      <c r="K333" s="47"/>
    </row>
    <row r="334">
      <c r="G334" s="48"/>
      <c r="H334" s="49"/>
      <c r="K334" s="47"/>
    </row>
    <row r="335">
      <c r="G335" s="48"/>
      <c r="H335" s="49"/>
      <c r="K335" s="47"/>
    </row>
    <row r="336">
      <c r="G336" s="48"/>
      <c r="H336" s="49"/>
      <c r="K336" s="47"/>
    </row>
    <row r="337">
      <c r="G337" s="48"/>
      <c r="H337" s="49"/>
      <c r="K337" s="47"/>
    </row>
    <row r="338">
      <c r="G338" s="48"/>
      <c r="H338" s="49"/>
      <c r="K338" s="47"/>
    </row>
    <row r="339">
      <c r="G339" s="48"/>
      <c r="H339" s="49"/>
      <c r="K339" s="47"/>
    </row>
    <row r="340">
      <c r="G340" s="48"/>
      <c r="H340" s="49"/>
      <c r="K340" s="47"/>
    </row>
    <row r="341">
      <c r="G341" s="48"/>
      <c r="H341" s="49"/>
      <c r="K341" s="47"/>
    </row>
    <row r="342">
      <c r="G342" s="48"/>
      <c r="H342" s="49"/>
      <c r="K342" s="47"/>
    </row>
    <row r="343">
      <c r="G343" s="48"/>
      <c r="H343" s="49"/>
      <c r="K343" s="47"/>
    </row>
    <row r="344">
      <c r="G344" s="48"/>
      <c r="H344" s="49"/>
      <c r="K344" s="47"/>
    </row>
    <row r="345">
      <c r="G345" s="48"/>
      <c r="H345" s="49"/>
      <c r="K345" s="47"/>
    </row>
    <row r="346">
      <c r="G346" s="48"/>
      <c r="H346" s="49"/>
      <c r="K346" s="47"/>
    </row>
    <row r="347">
      <c r="G347" s="48"/>
      <c r="H347" s="49"/>
      <c r="K347" s="47"/>
    </row>
    <row r="348">
      <c r="G348" s="48"/>
      <c r="H348" s="49"/>
      <c r="K348" s="47"/>
    </row>
    <row r="349">
      <c r="G349" s="48"/>
      <c r="H349" s="49"/>
      <c r="K349" s="47"/>
    </row>
    <row r="350">
      <c r="G350" s="48"/>
      <c r="H350" s="49"/>
      <c r="K350" s="47"/>
    </row>
    <row r="351">
      <c r="G351" s="48"/>
      <c r="H351" s="49"/>
      <c r="K351" s="47"/>
    </row>
    <row r="352">
      <c r="G352" s="48"/>
      <c r="H352" s="49"/>
      <c r="K352" s="47"/>
    </row>
    <row r="353">
      <c r="G353" s="48"/>
      <c r="H353" s="49"/>
      <c r="K353" s="47"/>
    </row>
    <row r="354">
      <c r="G354" s="48"/>
      <c r="H354" s="49"/>
      <c r="K354" s="47"/>
    </row>
    <row r="355">
      <c r="G355" s="48"/>
      <c r="H355" s="49"/>
      <c r="K355" s="47"/>
    </row>
    <row r="356">
      <c r="G356" s="48"/>
      <c r="H356" s="49"/>
      <c r="K356" s="47"/>
    </row>
    <row r="357">
      <c r="G357" s="48"/>
      <c r="H357" s="49"/>
      <c r="K357" s="47"/>
    </row>
    <row r="358">
      <c r="G358" s="48"/>
      <c r="H358" s="49"/>
      <c r="K358" s="47"/>
    </row>
    <row r="359">
      <c r="G359" s="48"/>
      <c r="H359" s="49"/>
      <c r="K359" s="47"/>
    </row>
    <row r="360">
      <c r="G360" s="48"/>
      <c r="H360" s="49"/>
      <c r="K360" s="47"/>
    </row>
    <row r="361">
      <c r="G361" s="48"/>
      <c r="H361" s="49"/>
      <c r="K361" s="47"/>
    </row>
    <row r="362">
      <c r="G362" s="48"/>
      <c r="H362" s="49"/>
      <c r="K362" s="47"/>
    </row>
    <row r="363">
      <c r="G363" s="48"/>
      <c r="H363" s="49"/>
      <c r="K363" s="47"/>
    </row>
    <row r="364">
      <c r="G364" s="48"/>
      <c r="H364" s="49"/>
      <c r="K364" s="47"/>
    </row>
    <row r="365">
      <c r="G365" s="48"/>
      <c r="H365" s="49"/>
      <c r="K365" s="47"/>
    </row>
    <row r="366">
      <c r="G366" s="48"/>
      <c r="H366" s="49"/>
      <c r="K366" s="47"/>
    </row>
    <row r="367">
      <c r="G367" s="48"/>
      <c r="H367" s="49"/>
      <c r="K367" s="47"/>
    </row>
    <row r="368">
      <c r="G368" s="48"/>
      <c r="H368" s="49"/>
      <c r="K368" s="47"/>
    </row>
    <row r="369">
      <c r="G369" s="48"/>
      <c r="H369" s="49"/>
      <c r="K369" s="47"/>
    </row>
    <row r="370">
      <c r="G370" s="48"/>
      <c r="H370" s="49"/>
      <c r="K370" s="47"/>
    </row>
    <row r="371">
      <c r="G371" s="48"/>
      <c r="H371" s="49"/>
      <c r="K371" s="47"/>
    </row>
    <row r="372">
      <c r="G372" s="48"/>
      <c r="H372" s="49"/>
      <c r="K372" s="47"/>
    </row>
    <row r="373">
      <c r="G373" s="48"/>
      <c r="H373" s="49"/>
      <c r="K373" s="47"/>
    </row>
    <row r="374">
      <c r="G374" s="48"/>
      <c r="H374" s="49"/>
      <c r="K374" s="47"/>
    </row>
    <row r="375">
      <c r="G375" s="48"/>
      <c r="H375" s="49"/>
      <c r="K375" s="47"/>
    </row>
    <row r="376">
      <c r="G376" s="48"/>
      <c r="H376" s="49"/>
      <c r="K376" s="47"/>
    </row>
    <row r="377">
      <c r="G377" s="48"/>
      <c r="H377" s="49"/>
      <c r="K377" s="47"/>
    </row>
    <row r="378">
      <c r="G378" s="48"/>
      <c r="H378" s="49"/>
      <c r="K378" s="47"/>
    </row>
    <row r="379">
      <c r="G379" s="48"/>
      <c r="H379" s="49"/>
      <c r="K379" s="47"/>
    </row>
    <row r="380">
      <c r="G380" s="48"/>
      <c r="H380" s="49"/>
      <c r="K380" s="47"/>
    </row>
    <row r="381">
      <c r="G381" s="48"/>
      <c r="H381" s="49"/>
      <c r="K381" s="47"/>
    </row>
    <row r="382">
      <c r="G382" s="48"/>
      <c r="H382" s="49"/>
      <c r="K382" s="47"/>
    </row>
    <row r="383">
      <c r="G383" s="48"/>
      <c r="H383" s="49"/>
      <c r="K383" s="47"/>
    </row>
    <row r="384">
      <c r="G384" s="48"/>
      <c r="H384" s="49"/>
      <c r="K384" s="47"/>
    </row>
    <row r="385">
      <c r="G385" s="48"/>
      <c r="H385" s="49"/>
      <c r="K385" s="47"/>
    </row>
    <row r="386">
      <c r="G386" s="48"/>
      <c r="H386" s="49"/>
      <c r="K386" s="47"/>
    </row>
    <row r="387">
      <c r="G387" s="48"/>
      <c r="H387" s="49"/>
      <c r="K387" s="47"/>
    </row>
    <row r="388">
      <c r="G388" s="48"/>
      <c r="H388" s="49"/>
      <c r="K388" s="47"/>
    </row>
    <row r="389">
      <c r="G389" s="48"/>
      <c r="H389" s="49"/>
      <c r="K389" s="47"/>
    </row>
    <row r="390">
      <c r="G390" s="48"/>
      <c r="H390" s="49"/>
      <c r="K390" s="47"/>
    </row>
    <row r="391">
      <c r="G391" s="48"/>
      <c r="H391" s="49"/>
      <c r="K391" s="47"/>
    </row>
    <row r="392">
      <c r="G392" s="48"/>
      <c r="H392" s="49"/>
      <c r="K392" s="47"/>
    </row>
    <row r="393">
      <c r="G393" s="48"/>
      <c r="H393" s="49"/>
      <c r="K393" s="47"/>
    </row>
    <row r="394">
      <c r="G394" s="48"/>
      <c r="H394" s="49"/>
      <c r="K394" s="47"/>
    </row>
    <row r="395">
      <c r="G395" s="48"/>
      <c r="H395" s="49"/>
      <c r="K395" s="47"/>
    </row>
    <row r="396">
      <c r="G396" s="48"/>
      <c r="H396" s="49"/>
      <c r="K396" s="47"/>
    </row>
    <row r="397">
      <c r="G397" s="48"/>
      <c r="H397" s="49"/>
      <c r="K397" s="47"/>
    </row>
    <row r="398">
      <c r="G398" s="48"/>
      <c r="H398" s="49"/>
      <c r="K398" s="47"/>
    </row>
    <row r="399">
      <c r="G399" s="48"/>
      <c r="H399" s="49"/>
      <c r="K399" s="47"/>
    </row>
    <row r="400">
      <c r="G400" s="48"/>
      <c r="H400" s="49"/>
      <c r="K400" s="47"/>
    </row>
    <row r="401">
      <c r="G401" s="48"/>
      <c r="H401" s="49"/>
      <c r="K401" s="47"/>
    </row>
    <row r="402">
      <c r="G402" s="48"/>
      <c r="H402" s="49"/>
      <c r="K402" s="47"/>
    </row>
    <row r="403">
      <c r="G403" s="48"/>
      <c r="H403" s="49"/>
      <c r="K403" s="47"/>
    </row>
    <row r="404">
      <c r="G404" s="48"/>
      <c r="H404" s="49"/>
      <c r="K404" s="47"/>
    </row>
    <row r="405">
      <c r="G405" s="48"/>
      <c r="H405" s="49"/>
      <c r="K405" s="47"/>
    </row>
    <row r="406">
      <c r="G406" s="48"/>
      <c r="H406" s="49"/>
      <c r="K406" s="47"/>
    </row>
    <row r="407">
      <c r="G407" s="48"/>
      <c r="H407" s="49"/>
      <c r="K407" s="47"/>
    </row>
    <row r="408">
      <c r="G408" s="48"/>
      <c r="H408" s="49"/>
      <c r="K408" s="47"/>
    </row>
    <row r="409">
      <c r="G409" s="48"/>
      <c r="H409" s="49"/>
      <c r="K409" s="47"/>
    </row>
    <row r="410">
      <c r="G410" s="48"/>
      <c r="H410" s="49"/>
      <c r="K410" s="47"/>
    </row>
    <row r="411">
      <c r="G411" s="48"/>
      <c r="H411" s="49"/>
      <c r="K411" s="47"/>
    </row>
    <row r="412">
      <c r="G412" s="48"/>
      <c r="H412" s="49"/>
      <c r="K412" s="47"/>
    </row>
    <row r="413">
      <c r="G413" s="48"/>
      <c r="H413" s="49"/>
      <c r="K413" s="47"/>
    </row>
    <row r="414">
      <c r="G414" s="48"/>
      <c r="H414" s="49"/>
      <c r="K414" s="47"/>
    </row>
    <row r="415">
      <c r="G415" s="48"/>
      <c r="H415" s="49"/>
      <c r="K415" s="47"/>
    </row>
    <row r="416">
      <c r="G416" s="48"/>
      <c r="H416" s="49"/>
      <c r="K416" s="47"/>
    </row>
    <row r="417">
      <c r="G417" s="48"/>
      <c r="H417" s="49"/>
      <c r="K417" s="47"/>
    </row>
    <row r="418">
      <c r="G418" s="48"/>
      <c r="H418" s="49"/>
      <c r="K418" s="47"/>
    </row>
    <row r="419">
      <c r="G419" s="48"/>
      <c r="H419" s="49"/>
      <c r="K419" s="47"/>
    </row>
    <row r="420">
      <c r="G420" s="48"/>
      <c r="H420" s="49"/>
      <c r="K420" s="47"/>
    </row>
    <row r="421">
      <c r="G421" s="48"/>
      <c r="H421" s="49"/>
      <c r="K421" s="47"/>
    </row>
    <row r="422">
      <c r="G422" s="48"/>
      <c r="H422" s="49"/>
      <c r="K422" s="47"/>
    </row>
    <row r="423">
      <c r="G423" s="48"/>
      <c r="H423" s="49"/>
      <c r="K423" s="47"/>
    </row>
    <row r="424">
      <c r="G424" s="48"/>
      <c r="H424" s="49"/>
      <c r="K424" s="47"/>
    </row>
    <row r="425">
      <c r="G425" s="48"/>
      <c r="H425" s="49"/>
      <c r="K425" s="47"/>
    </row>
    <row r="426">
      <c r="G426" s="48"/>
      <c r="H426" s="49"/>
      <c r="K426" s="47"/>
    </row>
    <row r="427">
      <c r="G427" s="48"/>
      <c r="H427" s="49"/>
      <c r="K427" s="47"/>
    </row>
    <row r="428">
      <c r="G428" s="48"/>
      <c r="H428" s="49"/>
      <c r="K428" s="47"/>
    </row>
    <row r="429">
      <c r="G429" s="48"/>
      <c r="H429" s="49"/>
      <c r="K429" s="47"/>
    </row>
    <row r="430">
      <c r="G430" s="48"/>
      <c r="H430" s="49"/>
      <c r="K430" s="47"/>
    </row>
    <row r="431">
      <c r="G431" s="48"/>
      <c r="H431" s="49"/>
      <c r="K431" s="47"/>
    </row>
    <row r="432">
      <c r="G432" s="48"/>
      <c r="H432" s="49"/>
      <c r="K432" s="47"/>
    </row>
    <row r="433">
      <c r="G433" s="48"/>
      <c r="H433" s="49"/>
      <c r="K433" s="47"/>
    </row>
    <row r="434">
      <c r="G434" s="48"/>
      <c r="H434" s="49"/>
      <c r="K434" s="47"/>
    </row>
    <row r="435">
      <c r="G435" s="48"/>
      <c r="H435" s="49"/>
      <c r="K435" s="47"/>
    </row>
    <row r="436">
      <c r="G436" s="48"/>
      <c r="H436" s="49"/>
      <c r="K436" s="47"/>
    </row>
    <row r="437">
      <c r="G437" s="48"/>
      <c r="H437" s="49"/>
      <c r="K437" s="47"/>
    </row>
    <row r="438">
      <c r="G438" s="48"/>
      <c r="H438" s="49"/>
      <c r="K438" s="47"/>
    </row>
    <row r="439">
      <c r="G439" s="48"/>
      <c r="H439" s="49"/>
      <c r="K439" s="47"/>
    </row>
    <row r="440">
      <c r="G440" s="48"/>
      <c r="H440" s="49"/>
      <c r="K440" s="47"/>
    </row>
    <row r="441">
      <c r="G441" s="48"/>
      <c r="H441" s="49"/>
      <c r="K441" s="47"/>
    </row>
    <row r="442">
      <c r="G442" s="48"/>
      <c r="H442" s="49"/>
      <c r="K442" s="47"/>
    </row>
    <row r="443">
      <c r="G443" s="48"/>
      <c r="H443" s="49"/>
      <c r="K443" s="47"/>
    </row>
    <row r="444">
      <c r="G444" s="48"/>
      <c r="H444" s="49"/>
      <c r="K444" s="47"/>
    </row>
    <row r="445">
      <c r="G445" s="48"/>
      <c r="H445" s="49"/>
      <c r="K445" s="47"/>
    </row>
    <row r="446">
      <c r="G446" s="48"/>
      <c r="H446" s="49"/>
      <c r="K446" s="47"/>
    </row>
    <row r="447">
      <c r="G447" s="48"/>
      <c r="H447" s="49"/>
      <c r="K447" s="47"/>
    </row>
    <row r="448">
      <c r="G448" s="48"/>
      <c r="H448" s="49"/>
      <c r="K448" s="47"/>
    </row>
    <row r="449">
      <c r="G449" s="48"/>
      <c r="H449" s="49"/>
      <c r="K449" s="47"/>
    </row>
    <row r="450">
      <c r="G450" s="48"/>
      <c r="H450" s="49"/>
      <c r="K450" s="47"/>
    </row>
    <row r="451">
      <c r="G451" s="48"/>
      <c r="H451" s="49"/>
      <c r="K451" s="47"/>
    </row>
    <row r="452">
      <c r="G452" s="48"/>
      <c r="H452" s="49"/>
      <c r="K452" s="47"/>
    </row>
    <row r="453">
      <c r="G453" s="48"/>
      <c r="H453" s="49"/>
      <c r="K453" s="47"/>
    </row>
    <row r="454">
      <c r="G454" s="48"/>
      <c r="H454" s="49"/>
      <c r="K454" s="47"/>
    </row>
    <row r="455">
      <c r="G455" s="48"/>
      <c r="H455" s="49"/>
      <c r="K455" s="47"/>
    </row>
    <row r="456">
      <c r="G456" s="48"/>
      <c r="H456" s="49"/>
      <c r="K456" s="47"/>
    </row>
    <row r="457">
      <c r="G457" s="48"/>
      <c r="H457" s="49"/>
      <c r="K457" s="47"/>
    </row>
    <row r="458">
      <c r="G458" s="48"/>
      <c r="H458" s="49"/>
      <c r="K458" s="47"/>
    </row>
    <row r="459">
      <c r="G459" s="48"/>
      <c r="H459" s="49"/>
      <c r="K459" s="47"/>
    </row>
    <row r="460">
      <c r="G460" s="48"/>
      <c r="H460" s="49"/>
      <c r="K460" s="47"/>
    </row>
    <row r="461">
      <c r="G461" s="48"/>
      <c r="H461" s="49"/>
      <c r="K461" s="47"/>
    </row>
    <row r="462">
      <c r="G462" s="48"/>
      <c r="H462" s="49"/>
      <c r="K462" s="47"/>
    </row>
    <row r="463">
      <c r="G463" s="48"/>
      <c r="H463" s="49"/>
      <c r="K463" s="47"/>
    </row>
    <row r="464">
      <c r="G464" s="48"/>
      <c r="H464" s="49"/>
      <c r="K464" s="47"/>
    </row>
    <row r="465">
      <c r="G465" s="48"/>
      <c r="H465" s="49"/>
      <c r="K465" s="47"/>
    </row>
    <row r="466">
      <c r="G466" s="48"/>
      <c r="H466" s="49"/>
      <c r="K466" s="47"/>
    </row>
    <row r="467">
      <c r="G467" s="48"/>
      <c r="H467" s="49"/>
      <c r="K467" s="47"/>
    </row>
    <row r="468">
      <c r="G468" s="48"/>
      <c r="H468" s="49"/>
      <c r="K468" s="47"/>
    </row>
    <row r="469">
      <c r="G469" s="48"/>
      <c r="H469" s="49"/>
      <c r="K469" s="47"/>
    </row>
    <row r="470">
      <c r="G470" s="48"/>
      <c r="H470" s="49"/>
      <c r="K470" s="47"/>
    </row>
    <row r="471">
      <c r="G471" s="48"/>
      <c r="H471" s="49"/>
      <c r="K471" s="47"/>
    </row>
    <row r="472">
      <c r="G472" s="48"/>
      <c r="H472" s="49"/>
      <c r="K472" s="47"/>
    </row>
    <row r="473">
      <c r="G473" s="48"/>
      <c r="H473" s="49"/>
      <c r="K473" s="47"/>
    </row>
    <row r="474">
      <c r="G474" s="48"/>
      <c r="H474" s="49"/>
      <c r="K474" s="47"/>
    </row>
    <row r="475">
      <c r="G475" s="48"/>
      <c r="H475" s="49"/>
      <c r="K475" s="47"/>
    </row>
    <row r="476">
      <c r="G476" s="48"/>
      <c r="H476" s="49"/>
      <c r="K476" s="47"/>
    </row>
    <row r="477">
      <c r="G477" s="48"/>
      <c r="H477" s="49"/>
      <c r="K477" s="47"/>
    </row>
    <row r="478">
      <c r="G478" s="48"/>
      <c r="H478" s="49"/>
      <c r="K478" s="47"/>
    </row>
    <row r="479">
      <c r="G479" s="48"/>
      <c r="H479" s="49"/>
      <c r="K479" s="47"/>
    </row>
    <row r="480">
      <c r="G480" s="48"/>
      <c r="H480" s="49"/>
      <c r="K480" s="47"/>
    </row>
    <row r="481">
      <c r="G481" s="48"/>
      <c r="H481" s="49"/>
      <c r="K481" s="47"/>
    </row>
    <row r="482">
      <c r="G482" s="48"/>
      <c r="H482" s="49"/>
      <c r="K482" s="47"/>
    </row>
    <row r="483">
      <c r="G483" s="48"/>
      <c r="H483" s="49"/>
      <c r="K483" s="47"/>
    </row>
    <row r="484">
      <c r="G484" s="48"/>
      <c r="H484" s="49"/>
      <c r="K484" s="47"/>
    </row>
    <row r="485">
      <c r="G485" s="48"/>
      <c r="H485" s="49"/>
      <c r="K485" s="47"/>
    </row>
    <row r="486">
      <c r="G486" s="48"/>
      <c r="H486" s="49"/>
      <c r="K486" s="47"/>
    </row>
    <row r="487">
      <c r="G487" s="48"/>
      <c r="H487" s="49"/>
      <c r="K487" s="47"/>
    </row>
    <row r="488">
      <c r="G488" s="48"/>
      <c r="H488" s="49"/>
      <c r="K488" s="47"/>
    </row>
    <row r="489">
      <c r="G489" s="48"/>
      <c r="H489" s="49"/>
      <c r="K489" s="47"/>
    </row>
    <row r="490">
      <c r="G490" s="48"/>
      <c r="H490" s="49"/>
      <c r="K490" s="47"/>
    </row>
    <row r="491">
      <c r="G491" s="48"/>
      <c r="H491" s="49"/>
      <c r="K491" s="47"/>
    </row>
    <row r="492">
      <c r="G492" s="48"/>
      <c r="H492" s="49"/>
      <c r="K492" s="47"/>
    </row>
    <row r="493">
      <c r="G493" s="48"/>
      <c r="H493" s="49"/>
      <c r="K493" s="47"/>
    </row>
    <row r="494">
      <c r="G494" s="48"/>
      <c r="H494" s="49"/>
      <c r="K494" s="47"/>
    </row>
    <row r="495">
      <c r="G495" s="48"/>
      <c r="H495" s="49"/>
      <c r="K495" s="47"/>
    </row>
    <row r="496">
      <c r="G496" s="48"/>
      <c r="H496" s="49"/>
      <c r="K496" s="47"/>
    </row>
    <row r="497">
      <c r="G497" s="48"/>
      <c r="H497" s="49"/>
      <c r="K497" s="47"/>
    </row>
    <row r="498">
      <c r="G498" s="48"/>
      <c r="H498" s="49"/>
      <c r="K498" s="47"/>
    </row>
    <row r="499">
      <c r="G499" s="48"/>
      <c r="H499" s="49"/>
      <c r="K499" s="47"/>
    </row>
    <row r="500">
      <c r="G500" s="48"/>
      <c r="H500" s="49"/>
      <c r="K500" s="47"/>
    </row>
    <row r="501">
      <c r="G501" s="48"/>
      <c r="H501" s="49"/>
      <c r="K501" s="47"/>
    </row>
    <row r="502">
      <c r="G502" s="48"/>
      <c r="H502" s="49"/>
      <c r="K502" s="47"/>
    </row>
    <row r="503">
      <c r="G503" s="48"/>
      <c r="H503" s="49"/>
      <c r="K503" s="47"/>
    </row>
    <row r="504">
      <c r="G504" s="48"/>
      <c r="H504" s="49"/>
      <c r="K504" s="47"/>
    </row>
    <row r="505">
      <c r="G505" s="48"/>
      <c r="H505" s="49"/>
      <c r="K505" s="47"/>
    </row>
    <row r="506">
      <c r="G506" s="48"/>
      <c r="H506" s="49"/>
      <c r="K506" s="47"/>
    </row>
    <row r="507">
      <c r="G507" s="48"/>
      <c r="H507" s="49"/>
      <c r="K507" s="47"/>
    </row>
    <row r="508">
      <c r="G508" s="48"/>
      <c r="H508" s="49"/>
      <c r="K508" s="47"/>
    </row>
    <row r="509">
      <c r="G509" s="48"/>
      <c r="H509" s="49"/>
      <c r="K509" s="47"/>
    </row>
    <row r="510">
      <c r="G510" s="48"/>
      <c r="H510" s="49"/>
      <c r="K510" s="47"/>
    </row>
    <row r="511">
      <c r="G511" s="48"/>
      <c r="H511" s="49"/>
      <c r="K511" s="47"/>
    </row>
    <row r="512">
      <c r="G512" s="48"/>
      <c r="H512" s="49"/>
      <c r="K512" s="47"/>
    </row>
    <row r="513">
      <c r="G513" s="48"/>
      <c r="H513" s="49"/>
      <c r="K513" s="47"/>
    </row>
    <row r="514">
      <c r="G514" s="48"/>
      <c r="H514" s="49"/>
      <c r="K514" s="47"/>
    </row>
    <row r="515">
      <c r="G515" s="48"/>
      <c r="H515" s="49"/>
      <c r="K515" s="47"/>
    </row>
    <row r="516">
      <c r="G516" s="48"/>
      <c r="H516" s="49"/>
      <c r="K516" s="47"/>
    </row>
    <row r="517">
      <c r="G517" s="48"/>
      <c r="H517" s="49"/>
      <c r="K517" s="47"/>
    </row>
    <row r="518">
      <c r="G518" s="48"/>
      <c r="H518" s="49"/>
      <c r="K518" s="47"/>
    </row>
    <row r="519">
      <c r="G519" s="48"/>
      <c r="H519" s="49"/>
      <c r="K519" s="47"/>
    </row>
    <row r="520">
      <c r="G520" s="48"/>
      <c r="H520" s="49"/>
      <c r="K520" s="47"/>
    </row>
    <row r="521">
      <c r="G521" s="48"/>
      <c r="H521" s="49"/>
      <c r="K521" s="47"/>
    </row>
    <row r="522">
      <c r="G522" s="48"/>
      <c r="H522" s="49"/>
      <c r="K522" s="47"/>
    </row>
    <row r="523">
      <c r="G523" s="48"/>
      <c r="H523" s="49"/>
      <c r="K523" s="47"/>
    </row>
    <row r="524">
      <c r="G524" s="48"/>
      <c r="H524" s="49"/>
      <c r="K524" s="47"/>
    </row>
    <row r="525">
      <c r="G525" s="48"/>
      <c r="H525" s="49"/>
      <c r="K525" s="47"/>
    </row>
    <row r="526">
      <c r="G526" s="48"/>
      <c r="H526" s="49"/>
      <c r="K526" s="47"/>
    </row>
    <row r="527">
      <c r="G527" s="48"/>
      <c r="H527" s="49"/>
      <c r="K527" s="47"/>
    </row>
    <row r="528">
      <c r="G528" s="48"/>
      <c r="H528" s="49"/>
      <c r="K528" s="47"/>
    </row>
    <row r="529">
      <c r="G529" s="48"/>
      <c r="H529" s="49"/>
      <c r="K529" s="47"/>
    </row>
    <row r="530">
      <c r="G530" s="48"/>
      <c r="H530" s="49"/>
      <c r="K530" s="47"/>
    </row>
    <row r="531">
      <c r="G531" s="48"/>
      <c r="H531" s="49"/>
      <c r="K531" s="47"/>
    </row>
    <row r="532">
      <c r="G532" s="48"/>
      <c r="H532" s="49"/>
      <c r="K532" s="47"/>
    </row>
    <row r="533">
      <c r="G533" s="48"/>
      <c r="H533" s="49"/>
      <c r="K533" s="47"/>
    </row>
    <row r="534">
      <c r="G534" s="48"/>
      <c r="H534" s="49"/>
      <c r="K534" s="47"/>
    </row>
    <row r="535">
      <c r="G535" s="48"/>
      <c r="H535" s="49"/>
      <c r="K535" s="47"/>
    </row>
    <row r="536">
      <c r="G536" s="48"/>
      <c r="H536" s="49"/>
      <c r="K536" s="47"/>
    </row>
    <row r="537">
      <c r="G537" s="48"/>
      <c r="H537" s="49"/>
      <c r="K537" s="47"/>
    </row>
    <row r="538">
      <c r="G538" s="48"/>
      <c r="H538" s="49"/>
      <c r="K538" s="47"/>
    </row>
    <row r="539">
      <c r="G539" s="48"/>
      <c r="H539" s="49"/>
      <c r="K539" s="47"/>
    </row>
    <row r="540">
      <c r="G540" s="48"/>
      <c r="H540" s="49"/>
      <c r="K540" s="47"/>
    </row>
    <row r="541">
      <c r="G541" s="48"/>
      <c r="H541" s="49"/>
      <c r="K541" s="47"/>
    </row>
    <row r="542">
      <c r="G542" s="48"/>
      <c r="H542" s="49"/>
      <c r="K542" s="47"/>
    </row>
    <row r="543">
      <c r="G543" s="48"/>
      <c r="H543" s="49"/>
      <c r="K543" s="47"/>
    </row>
    <row r="544">
      <c r="G544" s="48"/>
      <c r="H544" s="49"/>
      <c r="K544" s="47"/>
    </row>
    <row r="545">
      <c r="G545" s="48"/>
      <c r="H545" s="49"/>
      <c r="K545" s="47"/>
    </row>
    <row r="546">
      <c r="G546" s="48"/>
      <c r="H546" s="49"/>
      <c r="K546" s="47"/>
    </row>
    <row r="547">
      <c r="G547" s="48"/>
      <c r="H547" s="49"/>
      <c r="K547" s="47"/>
    </row>
    <row r="548">
      <c r="G548" s="48"/>
      <c r="H548" s="49"/>
      <c r="K548" s="47"/>
    </row>
    <row r="549">
      <c r="G549" s="48"/>
      <c r="H549" s="49"/>
      <c r="K549" s="47"/>
    </row>
    <row r="550">
      <c r="G550" s="48"/>
      <c r="H550" s="49"/>
      <c r="K550" s="47"/>
    </row>
    <row r="551">
      <c r="G551" s="48"/>
      <c r="H551" s="49"/>
      <c r="K551" s="47"/>
    </row>
    <row r="552">
      <c r="G552" s="48"/>
      <c r="H552" s="49"/>
      <c r="K552" s="47"/>
    </row>
    <row r="553">
      <c r="G553" s="48"/>
      <c r="H553" s="49"/>
      <c r="K553" s="47"/>
    </row>
    <row r="554">
      <c r="G554" s="48"/>
      <c r="H554" s="49"/>
      <c r="K554" s="47"/>
    </row>
    <row r="555">
      <c r="G555" s="48"/>
      <c r="H555" s="49"/>
      <c r="K555" s="47"/>
    </row>
    <row r="556">
      <c r="G556" s="48"/>
      <c r="H556" s="49"/>
      <c r="K556" s="47"/>
    </row>
    <row r="557">
      <c r="G557" s="48"/>
      <c r="H557" s="49"/>
      <c r="K557" s="47"/>
    </row>
    <row r="558">
      <c r="G558" s="48"/>
      <c r="H558" s="49"/>
      <c r="K558" s="47"/>
    </row>
    <row r="559">
      <c r="G559" s="48"/>
      <c r="H559" s="49"/>
      <c r="K559" s="47"/>
    </row>
    <row r="560">
      <c r="G560" s="48"/>
      <c r="H560" s="49"/>
      <c r="K560" s="47"/>
    </row>
    <row r="561">
      <c r="G561" s="48"/>
      <c r="H561" s="49"/>
      <c r="K561" s="47"/>
    </row>
    <row r="562">
      <c r="G562" s="48"/>
      <c r="H562" s="49"/>
      <c r="K562" s="47"/>
    </row>
    <row r="563">
      <c r="G563" s="48"/>
      <c r="H563" s="49"/>
      <c r="K563" s="47"/>
    </row>
    <row r="564">
      <c r="G564" s="48"/>
      <c r="H564" s="49"/>
      <c r="K564" s="47"/>
    </row>
    <row r="565">
      <c r="G565" s="48"/>
      <c r="H565" s="49"/>
      <c r="K565" s="47"/>
    </row>
    <row r="566">
      <c r="G566" s="48"/>
      <c r="H566" s="49"/>
      <c r="K566" s="47"/>
    </row>
    <row r="567">
      <c r="G567" s="48"/>
      <c r="H567" s="49"/>
      <c r="K567" s="47"/>
    </row>
    <row r="568">
      <c r="G568" s="48"/>
      <c r="H568" s="49"/>
      <c r="K568" s="47"/>
    </row>
    <row r="569">
      <c r="G569" s="48"/>
      <c r="H569" s="49"/>
      <c r="K569" s="47"/>
    </row>
    <row r="570">
      <c r="G570" s="48"/>
      <c r="H570" s="49"/>
      <c r="K570" s="47"/>
    </row>
    <row r="571">
      <c r="G571" s="48"/>
      <c r="H571" s="49"/>
      <c r="K571" s="47"/>
    </row>
    <row r="572">
      <c r="G572" s="48"/>
      <c r="H572" s="49"/>
      <c r="K572" s="47"/>
    </row>
    <row r="573">
      <c r="G573" s="48"/>
      <c r="H573" s="49"/>
      <c r="K573" s="47"/>
    </row>
    <row r="574">
      <c r="G574" s="48"/>
      <c r="H574" s="49"/>
      <c r="K574" s="47"/>
    </row>
    <row r="575">
      <c r="G575" s="48"/>
      <c r="H575" s="49"/>
      <c r="K575" s="47"/>
    </row>
    <row r="576">
      <c r="G576" s="48"/>
      <c r="H576" s="49"/>
      <c r="K576" s="47"/>
    </row>
    <row r="577">
      <c r="G577" s="48"/>
      <c r="H577" s="49"/>
      <c r="K577" s="47"/>
    </row>
    <row r="578">
      <c r="G578" s="48"/>
      <c r="H578" s="49"/>
      <c r="K578" s="47"/>
    </row>
    <row r="579">
      <c r="G579" s="48"/>
      <c r="H579" s="49"/>
      <c r="K579" s="47"/>
    </row>
    <row r="580">
      <c r="G580" s="48"/>
      <c r="H580" s="49"/>
      <c r="K580" s="47"/>
    </row>
    <row r="581">
      <c r="G581" s="48"/>
      <c r="H581" s="49"/>
      <c r="K581" s="47"/>
    </row>
    <row r="582">
      <c r="G582" s="48"/>
      <c r="H582" s="49"/>
      <c r="K582" s="47"/>
    </row>
    <row r="583">
      <c r="G583" s="48"/>
      <c r="H583" s="49"/>
      <c r="K583" s="47"/>
    </row>
    <row r="584">
      <c r="G584" s="48"/>
      <c r="H584" s="49"/>
      <c r="K584" s="47"/>
    </row>
    <row r="585">
      <c r="G585" s="48"/>
      <c r="H585" s="49"/>
      <c r="K585" s="47"/>
    </row>
    <row r="586">
      <c r="G586" s="48"/>
      <c r="H586" s="49"/>
      <c r="K586" s="47"/>
    </row>
    <row r="587">
      <c r="G587" s="48"/>
      <c r="H587" s="49"/>
      <c r="K587" s="47"/>
    </row>
    <row r="588">
      <c r="G588" s="48"/>
      <c r="H588" s="49"/>
      <c r="K588" s="47"/>
    </row>
    <row r="589">
      <c r="G589" s="48"/>
      <c r="H589" s="49"/>
      <c r="K589" s="47"/>
    </row>
    <row r="590">
      <c r="G590" s="48"/>
      <c r="H590" s="49"/>
      <c r="K590" s="47"/>
    </row>
    <row r="591">
      <c r="G591" s="48"/>
      <c r="H591" s="49"/>
      <c r="K591" s="47"/>
    </row>
    <row r="592">
      <c r="G592" s="48"/>
      <c r="H592" s="49"/>
      <c r="K592" s="47"/>
    </row>
    <row r="593">
      <c r="G593" s="48"/>
      <c r="H593" s="49"/>
      <c r="K593" s="47"/>
    </row>
    <row r="594">
      <c r="G594" s="48"/>
      <c r="H594" s="49"/>
      <c r="K594" s="47"/>
    </row>
    <row r="595">
      <c r="G595" s="48"/>
      <c r="H595" s="49"/>
      <c r="K595" s="47"/>
    </row>
    <row r="596">
      <c r="G596" s="48"/>
      <c r="H596" s="49"/>
      <c r="K596" s="47"/>
    </row>
    <row r="597">
      <c r="G597" s="48"/>
      <c r="H597" s="49"/>
      <c r="K597" s="47"/>
    </row>
    <row r="598">
      <c r="G598" s="48"/>
      <c r="H598" s="49"/>
      <c r="K598" s="47"/>
    </row>
    <row r="599">
      <c r="G599" s="48"/>
      <c r="H599" s="49"/>
      <c r="K599" s="47"/>
    </row>
    <row r="600">
      <c r="G600" s="48"/>
      <c r="H600" s="49"/>
      <c r="K600" s="47"/>
    </row>
    <row r="601">
      <c r="G601" s="48"/>
      <c r="H601" s="49"/>
      <c r="K601" s="47"/>
    </row>
    <row r="602">
      <c r="G602" s="48"/>
      <c r="H602" s="49"/>
      <c r="K602" s="47"/>
    </row>
    <row r="603">
      <c r="G603" s="48"/>
      <c r="H603" s="49"/>
      <c r="K603" s="47"/>
    </row>
    <row r="604">
      <c r="G604" s="48"/>
      <c r="H604" s="49"/>
      <c r="K604" s="47"/>
    </row>
    <row r="605">
      <c r="G605" s="48"/>
      <c r="H605" s="49"/>
      <c r="K605" s="47"/>
    </row>
    <row r="606">
      <c r="G606" s="48"/>
      <c r="H606" s="49"/>
      <c r="K606" s="47"/>
    </row>
    <row r="607">
      <c r="G607" s="48"/>
      <c r="H607" s="49"/>
      <c r="K607" s="47"/>
    </row>
    <row r="608">
      <c r="G608" s="48"/>
      <c r="H608" s="49"/>
      <c r="K608" s="47"/>
    </row>
    <row r="609">
      <c r="G609" s="48"/>
      <c r="H609" s="49"/>
      <c r="K609" s="47"/>
    </row>
    <row r="610">
      <c r="G610" s="48"/>
      <c r="H610" s="49"/>
      <c r="K610" s="47"/>
    </row>
    <row r="611">
      <c r="G611" s="48"/>
      <c r="H611" s="49"/>
      <c r="K611" s="47"/>
    </row>
    <row r="612">
      <c r="G612" s="48"/>
      <c r="H612" s="49"/>
      <c r="K612" s="47"/>
    </row>
    <row r="613">
      <c r="G613" s="48"/>
      <c r="H613" s="49"/>
      <c r="K613" s="47"/>
    </row>
    <row r="614">
      <c r="G614" s="48"/>
      <c r="H614" s="49"/>
      <c r="K614" s="47"/>
    </row>
    <row r="615">
      <c r="G615" s="48"/>
      <c r="H615" s="49"/>
      <c r="K615" s="47"/>
    </row>
    <row r="616">
      <c r="G616" s="48"/>
      <c r="H616" s="49"/>
      <c r="K616" s="47"/>
    </row>
    <row r="617">
      <c r="G617" s="48"/>
      <c r="H617" s="49"/>
      <c r="K617" s="47"/>
    </row>
    <row r="618">
      <c r="G618" s="48"/>
      <c r="H618" s="49"/>
      <c r="K618" s="47"/>
    </row>
    <row r="619">
      <c r="G619" s="48"/>
      <c r="H619" s="49"/>
      <c r="K619" s="47"/>
    </row>
    <row r="620">
      <c r="G620" s="48"/>
      <c r="H620" s="49"/>
      <c r="K620" s="47"/>
    </row>
    <row r="621">
      <c r="G621" s="48"/>
      <c r="H621" s="49"/>
      <c r="K621" s="47"/>
    </row>
    <row r="622">
      <c r="G622" s="48"/>
      <c r="H622" s="49"/>
      <c r="K622" s="47"/>
    </row>
    <row r="623">
      <c r="G623" s="48"/>
      <c r="H623" s="49"/>
      <c r="K623" s="47"/>
    </row>
    <row r="624">
      <c r="G624" s="48"/>
      <c r="H624" s="49"/>
      <c r="K624" s="47"/>
    </row>
    <row r="625">
      <c r="G625" s="48"/>
      <c r="H625" s="49"/>
      <c r="K625" s="47"/>
    </row>
    <row r="626">
      <c r="G626" s="48"/>
      <c r="H626" s="49"/>
      <c r="K626" s="47"/>
    </row>
    <row r="627">
      <c r="G627" s="48"/>
      <c r="H627" s="49"/>
      <c r="K627" s="47"/>
    </row>
    <row r="628">
      <c r="G628" s="48"/>
      <c r="H628" s="49"/>
      <c r="K628" s="47"/>
    </row>
    <row r="629">
      <c r="G629" s="48"/>
      <c r="H629" s="49"/>
      <c r="K629" s="47"/>
    </row>
    <row r="630">
      <c r="G630" s="48"/>
      <c r="H630" s="49"/>
      <c r="K630" s="47"/>
    </row>
    <row r="631">
      <c r="G631" s="48"/>
      <c r="H631" s="49"/>
      <c r="K631" s="47"/>
    </row>
    <row r="632">
      <c r="G632" s="48"/>
      <c r="H632" s="49"/>
      <c r="K632" s="47"/>
    </row>
    <row r="633">
      <c r="G633" s="48"/>
      <c r="H633" s="49"/>
      <c r="K633" s="47"/>
    </row>
    <row r="634">
      <c r="G634" s="48"/>
      <c r="H634" s="49"/>
      <c r="K634" s="47"/>
    </row>
    <row r="635">
      <c r="G635" s="48"/>
      <c r="H635" s="49"/>
      <c r="K635" s="47"/>
    </row>
    <row r="636">
      <c r="G636" s="48"/>
      <c r="H636" s="49"/>
      <c r="K636" s="47"/>
    </row>
    <row r="637">
      <c r="G637" s="48"/>
      <c r="H637" s="49"/>
      <c r="K637" s="47"/>
    </row>
    <row r="638">
      <c r="G638" s="48"/>
      <c r="H638" s="49"/>
      <c r="K638" s="47"/>
    </row>
    <row r="639">
      <c r="G639" s="48"/>
      <c r="H639" s="49"/>
      <c r="K639" s="47"/>
    </row>
    <row r="640">
      <c r="G640" s="48"/>
      <c r="H640" s="49"/>
      <c r="K640" s="47"/>
    </row>
    <row r="641">
      <c r="G641" s="48"/>
      <c r="H641" s="49"/>
      <c r="K641" s="47"/>
    </row>
    <row r="642">
      <c r="G642" s="48"/>
      <c r="H642" s="49"/>
      <c r="K642" s="47"/>
    </row>
    <row r="643">
      <c r="G643" s="48"/>
      <c r="H643" s="49"/>
      <c r="K643" s="47"/>
    </row>
    <row r="644">
      <c r="G644" s="48"/>
      <c r="H644" s="49"/>
      <c r="K644" s="47"/>
    </row>
    <row r="645">
      <c r="G645" s="48"/>
      <c r="H645" s="49"/>
      <c r="K645" s="47"/>
    </row>
    <row r="646">
      <c r="G646" s="48"/>
      <c r="H646" s="49"/>
      <c r="K646" s="47"/>
    </row>
    <row r="647">
      <c r="G647" s="48"/>
      <c r="H647" s="49"/>
      <c r="K647" s="47"/>
    </row>
    <row r="648">
      <c r="G648" s="48"/>
      <c r="H648" s="49"/>
      <c r="K648" s="47"/>
    </row>
    <row r="649">
      <c r="G649" s="48"/>
      <c r="H649" s="49"/>
      <c r="K649" s="47"/>
    </row>
    <row r="650">
      <c r="G650" s="48"/>
      <c r="H650" s="49"/>
      <c r="K650" s="47"/>
    </row>
    <row r="651">
      <c r="G651" s="48"/>
      <c r="H651" s="49"/>
      <c r="K651" s="47"/>
    </row>
    <row r="652">
      <c r="G652" s="48"/>
      <c r="H652" s="49"/>
      <c r="K652" s="47"/>
    </row>
    <row r="653">
      <c r="G653" s="48"/>
      <c r="H653" s="49"/>
      <c r="K653" s="47"/>
    </row>
    <row r="654">
      <c r="G654" s="48"/>
      <c r="H654" s="49"/>
      <c r="K654" s="47"/>
    </row>
    <row r="655">
      <c r="G655" s="48"/>
      <c r="H655" s="49"/>
      <c r="K655" s="47"/>
    </row>
    <row r="656">
      <c r="G656" s="48"/>
      <c r="H656" s="49"/>
      <c r="K656" s="47"/>
    </row>
    <row r="657">
      <c r="G657" s="48"/>
      <c r="H657" s="49"/>
      <c r="K657" s="47"/>
    </row>
    <row r="658">
      <c r="G658" s="48"/>
      <c r="H658" s="49"/>
      <c r="K658" s="47"/>
    </row>
    <row r="659">
      <c r="G659" s="48"/>
      <c r="H659" s="49"/>
      <c r="K659" s="47"/>
    </row>
    <row r="660">
      <c r="G660" s="48"/>
      <c r="H660" s="49"/>
      <c r="K660" s="47"/>
    </row>
    <row r="661">
      <c r="G661" s="48"/>
      <c r="H661" s="49"/>
      <c r="K661" s="47"/>
    </row>
    <row r="662">
      <c r="G662" s="48"/>
      <c r="H662" s="49"/>
      <c r="K662" s="47"/>
    </row>
    <row r="663">
      <c r="G663" s="48"/>
      <c r="H663" s="49"/>
      <c r="K663" s="47"/>
    </row>
    <row r="664">
      <c r="G664" s="48"/>
      <c r="H664" s="49"/>
      <c r="K664" s="47"/>
    </row>
    <row r="665">
      <c r="G665" s="48"/>
      <c r="H665" s="49"/>
      <c r="K665" s="47"/>
    </row>
    <row r="666">
      <c r="G666" s="48"/>
      <c r="H666" s="49"/>
      <c r="K666" s="47"/>
    </row>
    <row r="667">
      <c r="G667" s="48"/>
      <c r="H667" s="49"/>
      <c r="K667" s="47"/>
    </row>
    <row r="668">
      <c r="G668" s="48"/>
      <c r="H668" s="49"/>
      <c r="K668" s="47"/>
    </row>
    <row r="669">
      <c r="G669" s="48"/>
      <c r="H669" s="49"/>
      <c r="K669" s="47"/>
    </row>
    <row r="670">
      <c r="G670" s="48"/>
      <c r="H670" s="49"/>
      <c r="K670" s="47"/>
    </row>
    <row r="671">
      <c r="G671" s="48"/>
      <c r="H671" s="49"/>
      <c r="K671" s="47"/>
    </row>
    <row r="672">
      <c r="G672" s="48"/>
      <c r="H672" s="49"/>
      <c r="K672" s="47"/>
    </row>
    <row r="673">
      <c r="G673" s="48"/>
      <c r="H673" s="49"/>
      <c r="K673" s="47"/>
    </row>
    <row r="674">
      <c r="G674" s="48"/>
      <c r="H674" s="49"/>
      <c r="K674" s="47"/>
    </row>
    <row r="675">
      <c r="G675" s="48"/>
      <c r="H675" s="49"/>
      <c r="K675" s="47"/>
    </row>
    <row r="676">
      <c r="G676" s="48"/>
      <c r="H676" s="49"/>
      <c r="K676" s="47"/>
    </row>
    <row r="677">
      <c r="G677" s="48"/>
      <c r="H677" s="49"/>
      <c r="K677" s="47"/>
    </row>
    <row r="678">
      <c r="G678" s="48"/>
      <c r="H678" s="49"/>
      <c r="K678" s="47"/>
    </row>
    <row r="679">
      <c r="G679" s="48"/>
      <c r="H679" s="49"/>
      <c r="K679" s="47"/>
    </row>
    <row r="680">
      <c r="G680" s="48"/>
      <c r="H680" s="49"/>
      <c r="K680" s="47"/>
    </row>
    <row r="681">
      <c r="G681" s="48"/>
      <c r="H681" s="49"/>
      <c r="K681" s="47"/>
    </row>
    <row r="682">
      <c r="G682" s="48"/>
      <c r="H682" s="49"/>
      <c r="K682" s="47"/>
    </row>
    <row r="683">
      <c r="G683" s="48"/>
      <c r="H683" s="49"/>
      <c r="K683" s="47"/>
    </row>
    <row r="684">
      <c r="G684" s="48"/>
      <c r="H684" s="49"/>
      <c r="K684" s="47"/>
    </row>
    <row r="685">
      <c r="G685" s="48"/>
      <c r="H685" s="49"/>
      <c r="K685" s="47"/>
    </row>
    <row r="686">
      <c r="G686" s="48"/>
      <c r="H686" s="49"/>
      <c r="K686" s="47"/>
    </row>
    <row r="687">
      <c r="G687" s="48"/>
      <c r="H687" s="49"/>
      <c r="K687" s="47"/>
    </row>
    <row r="688">
      <c r="G688" s="48"/>
      <c r="H688" s="49"/>
      <c r="K688" s="47"/>
    </row>
    <row r="689">
      <c r="G689" s="48"/>
      <c r="H689" s="49"/>
      <c r="K689" s="47"/>
    </row>
    <row r="690">
      <c r="G690" s="48"/>
      <c r="H690" s="49"/>
      <c r="K690" s="47"/>
    </row>
    <row r="691">
      <c r="G691" s="48"/>
      <c r="H691" s="49"/>
      <c r="K691" s="47"/>
    </row>
    <row r="692">
      <c r="G692" s="48"/>
      <c r="H692" s="49"/>
      <c r="K692" s="47"/>
    </row>
    <row r="693">
      <c r="G693" s="48"/>
      <c r="H693" s="49"/>
      <c r="K693" s="47"/>
    </row>
    <row r="694">
      <c r="G694" s="48"/>
      <c r="H694" s="49"/>
      <c r="K694" s="47"/>
    </row>
    <row r="695">
      <c r="G695" s="48"/>
      <c r="H695" s="49"/>
      <c r="K695" s="47"/>
    </row>
    <row r="696">
      <c r="G696" s="48"/>
      <c r="H696" s="49"/>
      <c r="K696" s="47"/>
    </row>
    <row r="697">
      <c r="G697" s="48"/>
      <c r="H697" s="49"/>
      <c r="K697" s="47"/>
    </row>
    <row r="698">
      <c r="G698" s="48"/>
      <c r="H698" s="49"/>
      <c r="K698" s="47"/>
    </row>
    <row r="699">
      <c r="G699" s="48"/>
      <c r="H699" s="49"/>
      <c r="K699" s="47"/>
    </row>
    <row r="700">
      <c r="G700" s="48"/>
      <c r="H700" s="49"/>
      <c r="K700" s="47"/>
    </row>
    <row r="701">
      <c r="G701" s="48"/>
      <c r="H701" s="49"/>
      <c r="K701" s="47"/>
    </row>
    <row r="702">
      <c r="G702" s="48"/>
      <c r="H702" s="49"/>
      <c r="K702" s="47"/>
    </row>
    <row r="703">
      <c r="G703" s="48"/>
      <c r="H703" s="49"/>
      <c r="K703" s="47"/>
    </row>
    <row r="704">
      <c r="G704" s="48"/>
      <c r="H704" s="49"/>
      <c r="K704" s="47"/>
    </row>
    <row r="705">
      <c r="G705" s="48"/>
      <c r="H705" s="49"/>
      <c r="K705" s="47"/>
    </row>
    <row r="706">
      <c r="G706" s="48"/>
      <c r="H706" s="49"/>
      <c r="K706" s="47"/>
    </row>
    <row r="707">
      <c r="G707" s="48"/>
      <c r="H707" s="49"/>
      <c r="K707" s="47"/>
    </row>
    <row r="708">
      <c r="G708" s="48"/>
      <c r="H708" s="49"/>
      <c r="K708" s="47"/>
    </row>
    <row r="709">
      <c r="G709" s="48"/>
      <c r="H709" s="49"/>
      <c r="K709" s="47"/>
    </row>
    <row r="710">
      <c r="G710" s="48"/>
      <c r="H710" s="49"/>
      <c r="K710" s="47"/>
    </row>
    <row r="711">
      <c r="G711" s="48"/>
      <c r="H711" s="49"/>
      <c r="K711" s="47"/>
    </row>
    <row r="712">
      <c r="G712" s="48"/>
      <c r="H712" s="49"/>
      <c r="K712" s="47"/>
    </row>
    <row r="713">
      <c r="G713" s="48"/>
      <c r="H713" s="49"/>
      <c r="K713" s="47"/>
    </row>
    <row r="714">
      <c r="G714" s="48"/>
      <c r="H714" s="49"/>
      <c r="K714" s="47"/>
    </row>
    <row r="715">
      <c r="G715" s="48"/>
      <c r="H715" s="49"/>
      <c r="K715" s="47"/>
    </row>
    <row r="716">
      <c r="G716" s="48"/>
      <c r="H716" s="49"/>
      <c r="K716" s="47"/>
    </row>
    <row r="717">
      <c r="G717" s="48"/>
      <c r="H717" s="49"/>
      <c r="K717" s="47"/>
    </row>
    <row r="718">
      <c r="G718" s="48"/>
      <c r="H718" s="49"/>
      <c r="K718" s="47"/>
    </row>
    <row r="719">
      <c r="G719" s="48"/>
      <c r="H719" s="49"/>
      <c r="K719" s="47"/>
    </row>
    <row r="720">
      <c r="G720" s="48"/>
      <c r="H720" s="49"/>
      <c r="K720" s="47"/>
    </row>
    <row r="721">
      <c r="G721" s="48"/>
      <c r="H721" s="49"/>
      <c r="K721" s="47"/>
    </row>
    <row r="722">
      <c r="G722" s="48"/>
      <c r="H722" s="49"/>
      <c r="K722" s="47"/>
    </row>
    <row r="723">
      <c r="G723" s="48"/>
      <c r="H723" s="49"/>
      <c r="K723" s="47"/>
    </row>
    <row r="724">
      <c r="G724" s="48"/>
      <c r="H724" s="49"/>
      <c r="K724" s="47"/>
    </row>
    <row r="725">
      <c r="G725" s="48"/>
      <c r="H725" s="49"/>
      <c r="K725" s="47"/>
    </row>
    <row r="726">
      <c r="G726" s="48"/>
      <c r="H726" s="49"/>
      <c r="K726" s="47"/>
    </row>
    <row r="727">
      <c r="G727" s="48"/>
      <c r="H727" s="49"/>
      <c r="K727" s="47"/>
    </row>
    <row r="728">
      <c r="G728" s="48"/>
      <c r="H728" s="49"/>
      <c r="K728" s="47"/>
    </row>
    <row r="729">
      <c r="G729" s="48"/>
      <c r="H729" s="49"/>
      <c r="K729" s="47"/>
    </row>
    <row r="730">
      <c r="G730" s="48"/>
      <c r="H730" s="49"/>
      <c r="K730" s="47"/>
    </row>
    <row r="731">
      <c r="G731" s="48"/>
      <c r="H731" s="49"/>
      <c r="K731" s="47"/>
    </row>
    <row r="732">
      <c r="G732" s="48"/>
      <c r="H732" s="49"/>
      <c r="K732" s="47"/>
    </row>
    <row r="733">
      <c r="G733" s="48"/>
      <c r="H733" s="49"/>
      <c r="K733" s="47"/>
    </row>
    <row r="734">
      <c r="G734" s="48"/>
      <c r="H734" s="49"/>
      <c r="K734" s="47"/>
    </row>
    <row r="735">
      <c r="G735" s="48"/>
      <c r="H735" s="49"/>
      <c r="K735" s="47"/>
    </row>
    <row r="736">
      <c r="G736" s="48"/>
      <c r="H736" s="49"/>
      <c r="K736" s="47"/>
    </row>
    <row r="737">
      <c r="G737" s="48"/>
      <c r="H737" s="49"/>
      <c r="K737" s="47"/>
    </row>
    <row r="738">
      <c r="G738" s="48"/>
      <c r="H738" s="49"/>
      <c r="K738" s="47"/>
    </row>
    <row r="739">
      <c r="G739" s="48"/>
      <c r="H739" s="49"/>
      <c r="K739" s="47"/>
    </row>
    <row r="740">
      <c r="G740" s="48"/>
      <c r="H740" s="49"/>
      <c r="K740" s="47"/>
    </row>
    <row r="741">
      <c r="G741" s="48"/>
      <c r="H741" s="49"/>
      <c r="K741" s="47"/>
    </row>
    <row r="742">
      <c r="G742" s="48"/>
      <c r="H742" s="49"/>
      <c r="K742" s="47"/>
    </row>
    <row r="743">
      <c r="G743" s="48"/>
      <c r="H743" s="49"/>
      <c r="K743" s="47"/>
    </row>
    <row r="744">
      <c r="G744" s="48"/>
      <c r="H744" s="49"/>
      <c r="K744" s="47"/>
    </row>
    <row r="745">
      <c r="G745" s="48"/>
      <c r="H745" s="49"/>
      <c r="K745" s="47"/>
    </row>
    <row r="746">
      <c r="G746" s="48"/>
      <c r="H746" s="49"/>
      <c r="K746" s="47"/>
    </row>
    <row r="747">
      <c r="G747" s="48"/>
      <c r="H747" s="49"/>
      <c r="K747" s="47"/>
    </row>
    <row r="748">
      <c r="G748" s="48"/>
      <c r="H748" s="49"/>
      <c r="K748" s="47"/>
    </row>
    <row r="749">
      <c r="G749" s="48"/>
      <c r="H749" s="49"/>
      <c r="K749" s="47"/>
    </row>
    <row r="750">
      <c r="G750" s="48"/>
      <c r="H750" s="49"/>
      <c r="K750" s="47"/>
    </row>
    <row r="751">
      <c r="G751" s="48"/>
      <c r="H751" s="49"/>
      <c r="K751" s="47"/>
    </row>
    <row r="752">
      <c r="G752" s="48"/>
      <c r="H752" s="49"/>
      <c r="K752" s="47"/>
    </row>
    <row r="753">
      <c r="G753" s="48"/>
      <c r="H753" s="49"/>
      <c r="K753" s="47"/>
    </row>
    <row r="754">
      <c r="G754" s="48"/>
      <c r="H754" s="49"/>
      <c r="K754" s="47"/>
    </row>
    <row r="755">
      <c r="G755" s="48"/>
      <c r="H755" s="49"/>
      <c r="K755" s="47"/>
    </row>
    <row r="756">
      <c r="G756" s="48"/>
      <c r="H756" s="49"/>
      <c r="K756" s="47"/>
    </row>
    <row r="757">
      <c r="G757" s="48"/>
      <c r="H757" s="49"/>
      <c r="K757" s="47"/>
    </row>
    <row r="758">
      <c r="G758" s="48"/>
      <c r="H758" s="49"/>
      <c r="K758" s="47"/>
    </row>
    <row r="759">
      <c r="G759" s="48"/>
      <c r="H759" s="49"/>
      <c r="K759" s="47"/>
    </row>
    <row r="760">
      <c r="G760" s="48"/>
      <c r="H760" s="49"/>
      <c r="K760" s="47"/>
    </row>
    <row r="761">
      <c r="G761" s="48"/>
      <c r="H761" s="49"/>
      <c r="K761" s="47"/>
    </row>
    <row r="762">
      <c r="G762" s="48"/>
      <c r="H762" s="49"/>
      <c r="K762" s="47"/>
    </row>
    <row r="763">
      <c r="G763" s="48"/>
      <c r="H763" s="49"/>
      <c r="K763" s="47"/>
    </row>
    <row r="764">
      <c r="G764" s="48"/>
      <c r="H764" s="49"/>
      <c r="K764" s="47"/>
    </row>
    <row r="765">
      <c r="G765" s="48"/>
      <c r="H765" s="49"/>
      <c r="K765" s="47"/>
    </row>
    <row r="766">
      <c r="G766" s="48"/>
      <c r="H766" s="49"/>
      <c r="K766" s="47"/>
    </row>
    <row r="767">
      <c r="G767" s="48"/>
      <c r="H767" s="49"/>
      <c r="K767" s="47"/>
    </row>
    <row r="768">
      <c r="G768" s="48"/>
      <c r="H768" s="49"/>
      <c r="K768" s="47"/>
    </row>
    <row r="769">
      <c r="G769" s="48"/>
      <c r="H769" s="49"/>
      <c r="K769" s="47"/>
    </row>
    <row r="770">
      <c r="G770" s="48"/>
      <c r="H770" s="49"/>
      <c r="K770" s="47"/>
    </row>
    <row r="771">
      <c r="G771" s="48"/>
      <c r="H771" s="49"/>
      <c r="K771" s="47"/>
    </row>
    <row r="772">
      <c r="G772" s="48"/>
      <c r="H772" s="49"/>
      <c r="K772" s="47"/>
    </row>
    <row r="773">
      <c r="G773" s="48"/>
      <c r="H773" s="49"/>
      <c r="K773" s="47"/>
    </row>
    <row r="774">
      <c r="G774" s="48"/>
      <c r="H774" s="49"/>
      <c r="K774" s="47"/>
    </row>
    <row r="775">
      <c r="G775" s="48"/>
      <c r="H775" s="49"/>
      <c r="K775" s="47"/>
    </row>
    <row r="776">
      <c r="G776" s="48"/>
      <c r="H776" s="49"/>
      <c r="K776" s="47"/>
    </row>
    <row r="777">
      <c r="G777" s="48"/>
      <c r="H777" s="49"/>
      <c r="K777" s="47"/>
    </row>
    <row r="778">
      <c r="G778" s="48"/>
      <c r="H778" s="49"/>
      <c r="K778" s="47"/>
    </row>
    <row r="779">
      <c r="G779" s="48"/>
      <c r="H779" s="49"/>
      <c r="K779" s="47"/>
    </row>
    <row r="780">
      <c r="G780" s="48"/>
      <c r="H780" s="49"/>
      <c r="K780" s="47"/>
    </row>
    <row r="781">
      <c r="G781" s="48"/>
      <c r="H781" s="49"/>
      <c r="K781" s="47"/>
    </row>
    <row r="782">
      <c r="G782" s="48"/>
      <c r="H782" s="49"/>
      <c r="K782" s="47"/>
    </row>
    <row r="783">
      <c r="G783" s="48"/>
      <c r="H783" s="49"/>
      <c r="K783" s="47"/>
    </row>
    <row r="784">
      <c r="G784" s="48"/>
      <c r="H784" s="49"/>
      <c r="K784" s="47"/>
    </row>
    <row r="785">
      <c r="G785" s="48"/>
      <c r="H785" s="49"/>
      <c r="K785" s="47"/>
    </row>
    <row r="786">
      <c r="G786" s="48"/>
      <c r="H786" s="49"/>
      <c r="K786" s="47"/>
    </row>
    <row r="787">
      <c r="G787" s="48"/>
      <c r="H787" s="49"/>
      <c r="K787" s="47"/>
    </row>
    <row r="788">
      <c r="G788" s="48"/>
      <c r="H788" s="49"/>
      <c r="K788" s="47"/>
    </row>
    <row r="789">
      <c r="G789" s="48"/>
      <c r="H789" s="49"/>
      <c r="K789" s="47"/>
    </row>
    <row r="790">
      <c r="G790" s="48"/>
      <c r="H790" s="49"/>
      <c r="K790" s="47"/>
    </row>
    <row r="791">
      <c r="G791" s="48"/>
      <c r="H791" s="49"/>
      <c r="K791" s="47"/>
    </row>
    <row r="792">
      <c r="G792" s="48"/>
      <c r="H792" s="49"/>
      <c r="K792" s="47"/>
    </row>
    <row r="793">
      <c r="G793" s="48"/>
      <c r="H793" s="49"/>
      <c r="K793" s="47"/>
    </row>
    <row r="794">
      <c r="G794" s="48"/>
      <c r="H794" s="49"/>
      <c r="K794" s="47"/>
    </row>
    <row r="795">
      <c r="G795" s="48"/>
      <c r="H795" s="49"/>
      <c r="K795" s="47"/>
    </row>
    <row r="796">
      <c r="G796" s="48"/>
      <c r="H796" s="49"/>
      <c r="K796" s="47"/>
    </row>
    <row r="797">
      <c r="G797" s="48"/>
      <c r="H797" s="49"/>
      <c r="K797" s="47"/>
    </row>
    <row r="798">
      <c r="G798" s="48"/>
      <c r="H798" s="49"/>
      <c r="K798" s="47"/>
    </row>
    <row r="799">
      <c r="G799" s="48"/>
      <c r="H799" s="49"/>
      <c r="K799" s="47"/>
    </row>
    <row r="800">
      <c r="G800" s="48"/>
      <c r="H800" s="49"/>
      <c r="K800" s="47"/>
    </row>
    <row r="801">
      <c r="G801" s="48"/>
      <c r="H801" s="49"/>
      <c r="K801" s="47"/>
    </row>
    <row r="802">
      <c r="G802" s="48"/>
      <c r="H802" s="49"/>
      <c r="K802" s="47"/>
    </row>
    <row r="803">
      <c r="G803" s="48"/>
      <c r="H803" s="49"/>
      <c r="K803" s="47"/>
    </row>
    <row r="804">
      <c r="G804" s="48"/>
      <c r="H804" s="49"/>
      <c r="K804" s="47"/>
    </row>
    <row r="805">
      <c r="G805" s="48"/>
      <c r="H805" s="49"/>
      <c r="K805" s="47"/>
    </row>
    <row r="806">
      <c r="G806" s="48"/>
      <c r="H806" s="49"/>
      <c r="K806" s="47"/>
    </row>
    <row r="807">
      <c r="G807" s="48"/>
      <c r="H807" s="49"/>
      <c r="K807" s="47"/>
    </row>
    <row r="808">
      <c r="G808" s="48"/>
      <c r="H808" s="49"/>
      <c r="K808" s="47"/>
    </row>
    <row r="809">
      <c r="G809" s="48"/>
      <c r="H809" s="49"/>
      <c r="K809" s="47"/>
    </row>
    <row r="810">
      <c r="G810" s="48"/>
      <c r="H810" s="49"/>
      <c r="K810" s="47"/>
    </row>
    <row r="811">
      <c r="G811" s="48"/>
      <c r="H811" s="49"/>
      <c r="K811" s="47"/>
    </row>
    <row r="812">
      <c r="G812" s="48"/>
      <c r="H812" s="49"/>
      <c r="K812" s="47"/>
    </row>
    <row r="813">
      <c r="G813" s="48"/>
      <c r="H813" s="49"/>
      <c r="K813" s="47"/>
    </row>
    <row r="814">
      <c r="G814" s="48"/>
      <c r="H814" s="49"/>
      <c r="K814" s="47"/>
    </row>
    <row r="815">
      <c r="G815" s="48"/>
      <c r="H815" s="49"/>
      <c r="K815" s="47"/>
    </row>
    <row r="816">
      <c r="G816" s="48"/>
      <c r="H816" s="49"/>
      <c r="K816" s="47"/>
    </row>
    <row r="817">
      <c r="G817" s="48"/>
      <c r="H817" s="49"/>
      <c r="K817" s="47"/>
    </row>
    <row r="818">
      <c r="G818" s="48"/>
      <c r="H818" s="49"/>
      <c r="K818" s="47"/>
    </row>
    <row r="819">
      <c r="G819" s="48"/>
      <c r="H819" s="49"/>
      <c r="K819" s="47"/>
    </row>
    <row r="820">
      <c r="G820" s="48"/>
      <c r="H820" s="49"/>
      <c r="K820" s="47"/>
    </row>
    <row r="821">
      <c r="G821" s="48"/>
      <c r="H821" s="49"/>
      <c r="K821" s="47"/>
    </row>
    <row r="822">
      <c r="G822" s="48"/>
      <c r="H822" s="49"/>
      <c r="K822" s="47"/>
    </row>
    <row r="823">
      <c r="G823" s="48"/>
      <c r="H823" s="49"/>
      <c r="K823" s="47"/>
    </row>
    <row r="824">
      <c r="G824" s="48"/>
      <c r="H824" s="49"/>
      <c r="K824" s="47"/>
    </row>
    <row r="825">
      <c r="G825" s="48"/>
      <c r="H825" s="49"/>
      <c r="K825" s="47"/>
    </row>
    <row r="826">
      <c r="G826" s="48"/>
      <c r="H826" s="49"/>
      <c r="K826" s="47"/>
    </row>
    <row r="827">
      <c r="G827" s="48"/>
      <c r="H827" s="49"/>
      <c r="K827" s="47"/>
    </row>
    <row r="828">
      <c r="G828" s="48"/>
      <c r="H828" s="49"/>
      <c r="K828" s="47"/>
    </row>
    <row r="829">
      <c r="G829" s="48"/>
      <c r="H829" s="49"/>
      <c r="K829" s="47"/>
    </row>
    <row r="830">
      <c r="G830" s="48"/>
      <c r="H830" s="49"/>
      <c r="K830" s="47"/>
    </row>
    <row r="831">
      <c r="G831" s="48"/>
      <c r="H831" s="49"/>
      <c r="K831" s="47"/>
    </row>
    <row r="832">
      <c r="G832" s="48"/>
      <c r="H832" s="49"/>
      <c r="K832" s="47"/>
    </row>
    <row r="833">
      <c r="G833" s="48"/>
      <c r="H833" s="49"/>
      <c r="K833" s="47"/>
    </row>
    <row r="834">
      <c r="G834" s="48"/>
      <c r="H834" s="49"/>
      <c r="K834" s="47"/>
    </row>
    <row r="835">
      <c r="G835" s="48"/>
      <c r="H835" s="49"/>
      <c r="K835" s="47"/>
    </row>
    <row r="836">
      <c r="G836" s="48"/>
      <c r="H836" s="49"/>
      <c r="K836" s="47"/>
    </row>
    <row r="837">
      <c r="G837" s="48"/>
      <c r="H837" s="49"/>
      <c r="K837" s="47"/>
    </row>
    <row r="838">
      <c r="G838" s="48"/>
      <c r="H838" s="49"/>
      <c r="K838" s="47"/>
    </row>
    <row r="839">
      <c r="G839" s="48"/>
      <c r="H839" s="49"/>
      <c r="K839" s="47"/>
    </row>
    <row r="840">
      <c r="G840" s="48"/>
      <c r="H840" s="49"/>
      <c r="K840" s="47"/>
    </row>
    <row r="841">
      <c r="G841" s="48"/>
      <c r="H841" s="49"/>
      <c r="K841" s="47"/>
    </row>
    <row r="842">
      <c r="G842" s="48"/>
      <c r="H842" s="49"/>
      <c r="K842" s="47"/>
    </row>
    <row r="843">
      <c r="G843" s="48"/>
      <c r="H843" s="49"/>
      <c r="K843" s="47"/>
    </row>
    <row r="844">
      <c r="G844" s="48"/>
      <c r="H844" s="49"/>
      <c r="K844" s="47"/>
    </row>
    <row r="845">
      <c r="G845" s="48"/>
      <c r="H845" s="49"/>
      <c r="K845" s="47"/>
    </row>
    <row r="846">
      <c r="G846" s="48"/>
      <c r="H846" s="49"/>
      <c r="K846" s="47"/>
    </row>
    <row r="847">
      <c r="G847" s="48"/>
      <c r="H847" s="49"/>
      <c r="K847" s="47"/>
    </row>
    <row r="848">
      <c r="G848" s="48"/>
      <c r="H848" s="49"/>
      <c r="K848" s="47"/>
    </row>
    <row r="849">
      <c r="G849" s="48"/>
      <c r="H849" s="49"/>
      <c r="K849" s="47"/>
    </row>
    <row r="850">
      <c r="G850" s="48"/>
      <c r="H850" s="49"/>
      <c r="K850" s="47"/>
    </row>
    <row r="851">
      <c r="G851" s="48"/>
      <c r="H851" s="49"/>
      <c r="K851" s="47"/>
    </row>
    <row r="852">
      <c r="G852" s="48"/>
      <c r="H852" s="49"/>
      <c r="K852" s="47"/>
    </row>
    <row r="853">
      <c r="G853" s="48"/>
      <c r="H853" s="49"/>
      <c r="K853" s="47"/>
    </row>
    <row r="854">
      <c r="G854" s="48"/>
      <c r="H854" s="49"/>
      <c r="K854" s="47"/>
    </row>
    <row r="855">
      <c r="G855" s="48"/>
      <c r="H855" s="49"/>
      <c r="K855" s="47"/>
    </row>
    <row r="856">
      <c r="G856" s="48"/>
      <c r="H856" s="49"/>
      <c r="K856" s="47"/>
    </row>
    <row r="857">
      <c r="G857" s="48"/>
      <c r="H857" s="49"/>
      <c r="K857" s="47"/>
    </row>
    <row r="858">
      <c r="G858" s="48"/>
      <c r="H858" s="49"/>
      <c r="K858" s="47"/>
    </row>
    <row r="859">
      <c r="G859" s="48"/>
      <c r="H859" s="49"/>
      <c r="K859" s="47"/>
    </row>
    <row r="860">
      <c r="G860" s="48"/>
      <c r="H860" s="49"/>
      <c r="K860" s="47"/>
    </row>
    <row r="861">
      <c r="G861" s="48"/>
      <c r="H861" s="49"/>
      <c r="K861" s="47"/>
    </row>
    <row r="862">
      <c r="G862" s="48"/>
      <c r="H862" s="49"/>
      <c r="K862" s="47"/>
    </row>
    <row r="863">
      <c r="G863" s="48"/>
      <c r="H863" s="49"/>
      <c r="K863" s="47"/>
    </row>
    <row r="864">
      <c r="G864" s="48"/>
      <c r="H864" s="49"/>
      <c r="K864" s="47"/>
    </row>
    <row r="865">
      <c r="G865" s="48"/>
      <c r="H865" s="49"/>
      <c r="K865" s="47"/>
    </row>
    <row r="866">
      <c r="G866" s="48"/>
      <c r="H866" s="49"/>
      <c r="K866" s="47"/>
    </row>
    <row r="867">
      <c r="G867" s="48"/>
      <c r="H867" s="49"/>
      <c r="K867" s="47"/>
    </row>
    <row r="868">
      <c r="G868" s="48"/>
      <c r="H868" s="49"/>
      <c r="K868" s="47"/>
    </row>
    <row r="869">
      <c r="G869" s="48"/>
      <c r="H869" s="49"/>
      <c r="K869" s="47"/>
    </row>
    <row r="870">
      <c r="G870" s="48"/>
      <c r="H870" s="49"/>
      <c r="K870" s="47"/>
    </row>
    <row r="871">
      <c r="G871" s="48"/>
      <c r="H871" s="49"/>
      <c r="K871" s="47"/>
    </row>
    <row r="872">
      <c r="G872" s="48"/>
      <c r="H872" s="49"/>
      <c r="K872" s="47"/>
    </row>
    <row r="873">
      <c r="G873" s="48"/>
      <c r="H873" s="49"/>
      <c r="K873" s="47"/>
    </row>
    <row r="874">
      <c r="G874" s="48"/>
      <c r="H874" s="49"/>
      <c r="K874" s="47"/>
    </row>
    <row r="875">
      <c r="G875" s="48"/>
      <c r="H875" s="49"/>
      <c r="K875" s="47"/>
    </row>
    <row r="876">
      <c r="G876" s="48"/>
      <c r="H876" s="49"/>
      <c r="K876" s="47"/>
    </row>
    <row r="877">
      <c r="G877" s="48"/>
      <c r="H877" s="49"/>
      <c r="K877" s="47"/>
    </row>
    <row r="878">
      <c r="G878" s="48"/>
      <c r="H878" s="49"/>
      <c r="K878" s="47"/>
    </row>
    <row r="879">
      <c r="G879" s="48"/>
      <c r="H879" s="49"/>
      <c r="K879" s="47"/>
    </row>
    <row r="880">
      <c r="G880" s="48"/>
      <c r="H880" s="49"/>
      <c r="K880" s="47"/>
    </row>
    <row r="881">
      <c r="G881" s="48"/>
      <c r="H881" s="49"/>
      <c r="K881" s="47"/>
    </row>
    <row r="882">
      <c r="G882" s="48"/>
      <c r="H882" s="49"/>
      <c r="K882" s="47"/>
    </row>
    <row r="883">
      <c r="G883" s="48"/>
      <c r="H883" s="49"/>
      <c r="K883" s="47"/>
    </row>
    <row r="884">
      <c r="G884" s="48"/>
      <c r="H884" s="49"/>
      <c r="K884" s="47"/>
    </row>
    <row r="885">
      <c r="G885" s="48"/>
      <c r="H885" s="49"/>
      <c r="K885" s="47"/>
    </row>
    <row r="886">
      <c r="G886" s="48"/>
      <c r="H886" s="49"/>
      <c r="K886" s="47"/>
    </row>
    <row r="887">
      <c r="G887" s="48"/>
      <c r="H887" s="49"/>
      <c r="K887" s="47"/>
    </row>
    <row r="888">
      <c r="G888" s="48"/>
      <c r="H888" s="49"/>
      <c r="K888" s="47"/>
    </row>
    <row r="889">
      <c r="G889" s="48"/>
      <c r="H889" s="49"/>
      <c r="K889" s="47"/>
    </row>
    <row r="890">
      <c r="G890" s="48"/>
      <c r="H890" s="49"/>
      <c r="K890" s="47"/>
    </row>
    <row r="891">
      <c r="G891" s="48"/>
      <c r="H891" s="49"/>
      <c r="K891" s="47"/>
    </row>
    <row r="892">
      <c r="G892" s="48"/>
      <c r="H892" s="49"/>
      <c r="K892" s="47"/>
    </row>
    <row r="893">
      <c r="G893" s="48"/>
      <c r="H893" s="49"/>
      <c r="K893" s="47"/>
    </row>
    <row r="894">
      <c r="G894" s="48"/>
      <c r="H894" s="49"/>
      <c r="K894" s="47"/>
    </row>
    <row r="895">
      <c r="G895" s="48"/>
      <c r="H895" s="49"/>
      <c r="K895" s="47"/>
    </row>
    <row r="896">
      <c r="G896" s="48"/>
      <c r="H896" s="49"/>
      <c r="K896" s="47"/>
    </row>
    <row r="897">
      <c r="G897" s="48"/>
      <c r="H897" s="49"/>
      <c r="K897" s="47"/>
    </row>
    <row r="898">
      <c r="G898" s="48"/>
      <c r="H898" s="49"/>
      <c r="K898" s="47"/>
    </row>
    <row r="899">
      <c r="G899" s="48"/>
      <c r="H899" s="49"/>
      <c r="K899" s="47"/>
    </row>
    <row r="900">
      <c r="G900" s="48"/>
      <c r="H900" s="49"/>
      <c r="K900" s="47"/>
    </row>
    <row r="901">
      <c r="G901" s="48"/>
      <c r="H901" s="49"/>
      <c r="K901" s="47"/>
    </row>
    <row r="902">
      <c r="G902" s="48"/>
      <c r="H902" s="49"/>
      <c r="K902" s="47"/>
    </row>
    <row r="903">
      <c r="G903" s="48"/>
      <c r="H903" s="49"/>
      <c r="K903" s="47"/>
    </row>
    <row r="904">
      <c r="G904" s="48"/>
      <c r="H904" s="49"/>
      <c r="K904" s="47"/>
    </row>
    <row r="905">
      <c r="G905" s="48"/>
      <c r="H905" s="49"/>
      <c r="K905" s="47"/>
    </row>
    <row r="906">
      <c r="G906" s="48"/>
      <c r="H906" s="49"/>
      <c r="K906" s="47"/>
    </row>
    <row r="907">
      <c r="G907" s="48"/>
      <c r="H907" s="49"/>
      <c r="K907" s="47"/>
    </row>
    <row r="908">
      <c r="G908" s="48"/>
      <c r="H908" s="49"/>
      <c r="K908" s="47"/>
    </row>
    <row r="909">
      <c r="G909" s="48"/>
      <c r="H909" s="49"/>
      <c r="K909" s="47"/>
    </row>
    <row r="910">
      <c r="G910" s="48"/>
      <c r="H910" s="49"/>
      <c r="K910" s="47"/>
    </row>
    <row r="911">
      <c r="G911" s="48"/>
      <c r="H911" s="49"/>
      <c r="K911" s="47"/>
    </row>
    <row r="912">
      <c r="G912" s="48"/>
      <c r="H912" s="49"/>
      <c r="K912" s="47"/>
    </row>
    <row r="913">
      <c r="G913" s="48"/>
      <c r="H913" s="49"/>
      <c r="K913" s="47"/>
    </row>
    <row r="914">
      <c r="G914" s="48"/>
      <c r="H914" s="49"/>
      <c r="K914" s="47"/>
    </row>
    <row r="915">
      <c r="G915" s="48"/>
      <c r="H915" s="49"/>
      <c r="K915" s="47"/>
    </row>
    <row r="916">
      <c r="G916" s="48"/>
      <c r="H916" s="49"/>
      <c r="K916" s="47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ref="J58"/>
    <hyperlink r:id="rId35" location="rec628198360" ref="J59"/>
    <hyperlink r:id="rId36" location="contact" ref="J60"/>
    <hyperlink r:id="rId37" ref="J61"/>
    <hyperlink r:id="rId38" ref="J62"/>
    <hyperlink r:id="rId39" ref="J64"/>
    <hyperlink r:id="rId40" ref="J67"/>
    <hyperlink r:id="rId41" ref="J68"/>
    <hyperlink r:id="rId42" ref="J69"/>
    <hyperlink r:id="rId43" ref="J70"/>
    <hyperlink r:id="rId44" ref="J71"/>
    <hyperlink r:id="rId45" ref="J72"/>
    <hyperlink r:id="rId46" ref="J73"/>
    <hyperlink r:id="rId47" ref="J74"/>
    <hyperlink r:id="rId48" ref="J75"/>
    <hyperlink r:id="rId49" ref="J76"/>
    <hyperlink r:id="rId50" ref="J77"/>
    <hyperlink r:id="rId51" ref="L77"/>
    <hyperlink r:id="rId52" ref="J78"/>
    <hyperlink r:id="rId53" ref="J79"/>
    <hyperlink r:id="rId54" ref="J8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33">
        <v>1.0</v>
      </c>
      <c r="C1" s="33">
        <v>2.0</v>
      </c>
      <c r="D1" s="33">
        <v>3.0</v>
      </c>
      <c r="E1" s="33">
        <v>4.0</v>
      </c>
      <c r="F1" s="33">
        <v>5.0</v>
      </c>
      <c r="G1" s="33">
        <v>6.0</v>
      </c>
      <c r="H1" s="33">
        <v>7.0</v>
      </c>
      <c r="I1" s="33">
        <v>8.0</v>
      </c>
      <c r="J1" s="33">
        <v>9.0</v>
      </c>
      <c r="K1" s="33">
        <v>10.0</v>
      </c>
      <c r="L1" s="33">
        <v>11.0</v>
      </c>
      <c r="M1" s="33">
        <v>12.0</v>
      </c>
      <c r="P1" s="7"/>
    </row>
    <row r="2">
      <c r="A2" s="33" t="s">
        <v>0</v>
      </c>
      <c r="B2" s="50" t="s">
        <v>13</v>
      </c>
      <c r="C2" s="50" t="s">
        <v>13</v>
      </c>
      <c r="D2" s="51" t="s">
        <v>34</v>
      </c>
      <c r="E2" s="51" t="s">
        <v>34</v>
      </c>
      <c r="F2" s="52" t="s">
        <v>52</v>
      </c>
      <c r="G2" s="52" t="s">
        <v>52</v>
      </c>
      <c r="H2" s="53" t="s">
        <v>87</v>
      </c>
      <c r="I2" s="54" t="s">
        <v>108</v>
      </c>
      <c r="J2" s="55" t="s">
        <v>240</v>
      </c>
      <c r="K2" s="56" t="s">
        <v>286</v>
      </c>
      <c r="L2" s="56" t="s">
        <v>286</v>
      </c>
      <c r="M2" s="57" t="s">
        <v>326</v>
      </c>
      <c r="P2" s="7"/>
    </row>
    <row r="3">
      <c r="A3" s="33" t="s">
        <v>4</v>
      </c>
      <c r="B3" s="33" t="s">
        <v>17</v>
      </c>
      <c r="C3" s="33" t="s">
        <v>24</v>
      </c>
      <c r="D3" s="33" t="s">
        <v>17</v>
      </c>
      <c r="E3" s="33" t="s">
        <v>24</v>
      </c>
      <c r="F3" s="33" t="s">
        <v>17</v>
      </c>
      <c r="G3" s="33" t="s">
        <v>24</v>
      </c>
      <c r="H3" s="33" t="s">
        <v>24</v>
      </c>
      <c r="I3" s="33" t="s">
        <v>24</v>
      </c>
      <c r="J3" s="33" t="s">
        <v>24</v>
      </c>
      <c r="K3" s="33" t="s">
        <v>17</v>
      </c>
      <c r="L3" s="33" t="s">
        <v>24</v>
      </c>
      <c r="M3" s="33" t="s">
        <v>24</v>
      </c>
      <c r="P3" s="58" t="s">
        <v>335</v>
      </c>
    </row>
    <row r="4">
      <c r="B4" s="33" t="s">
        <v>336</v>
      </c>
      <c r="C4" s="33" t="s">
        <v>337</v>
      </c>
      <c r="D4" s="33" t="s">
        <v>338</v>
      </c>
      <c r="E4" s="33" t="s">
        <v>339</v>
      </c>
      <c r="F4" s="33" t="s">
        <v>340</v>
      </c>
      <c r="G4" s="33" t="s">
        <v>341</v>
      </c>
      <c r="H4" s="33" t="s">
        <v>342</v>
      </c>
      <c r="I4" s="33" t="s">
        <v>343</v>
      </c>
      <c r="J4" s="33" t="s">
        <v>344</v>
      </c>
      <c r="K4" s="33" t="s">
        <v>345</v>
      </c>
      <c r="L4" s="33" t="s">
        <v>346</v>
      </c>
      <c r="M4" s="33" t="s">
        <v>347</v>
      </c>
      <c r="P4" s="59" t="s">
        <v>348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0" t="s">
        <v>349</v>
      </c>
      <c r="B1" s="60" t="s">
        <v>0</v>
      </c>
      <c r="C1" s="60" t="s">
        <v>1</v>
      </c>
      <c r="D1" s="60" t="s">
        <v>2</v>
      </c>
      <c r="E1" s="60" t="s">
        <v>3</v>
      </c>
      <c r="F1" s="61" t="s">
        <v>4</v>
      </c>
      <c r="G1" s="61" t="s">
        <v>5</v>
      </c>
      <c r="H1" s="62" t="s">
        <v>350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24" t="s">
        <v>18</v>
      </c>
      <c r="H2" s="63" t="s">
        <v>351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24" t="s">
        <v>18</v>
      </c>
      <c r="H3" s="64" t="s">
        <v>31</v>
      </c>
    </row>
    <row r="4">
      <c r="A4" s="8">
        <v>156.0</v>
      </c>
      <c r="B4" s="17" t="s">
        <v>34</v>
      </c>
      <c r="C4" s="17" t="s">
        <v>35</v>
      </c>
      <c r="D4" s="17" t="s">
        <v>36</v>
      </c>
      <c r="E4" s="17" t="s">
        <v>37</v>
      </c>
      <c r="F4" s="18" t="s">
        <v>17</v>
      </c>
      <c r="G4" s="24" t="s">
        <v>18</v>
      </c>
      <c r="H4" s="65" t="s">
        <v>352</v>
      </c>
    </row>
    <row r="5">
      <c r="A5" s="8">
        <v>11.0</v>
      </c>
      <c r="B5" s="20" t="s">
        <v>52</v>
      </c>
      <c r="C5" s="20" t="s">
        <v>53</v>
      </c>
      <c r="D5" s="20" t="s">
        <v>54</v>
      </c>
      <c r="E5" s="20" t="s">
        <v>37</v>
      </c>
      <c r="F5" s="18" t="s">
        <v>17</v>
      </c>
      <c r="G5" s="24" t="s">
        <v>18</v>
      </c>
      <c r="H5" s="16" t="s">
        <v>56</v>
      </c>
    </row>
    <row r="6">
      <c r="A6" s="8">
        <v>12.0</v>
      </c>
      <c r="B6" s="20" t="s">
        <v>52</v>
      </c>
      <c r="C6" s="20" t="s">
        <v>59</v>
      </c>
      <c r="D6" s="20" t="s">
        <v>60</v>
      </c>
      <c r="E6" s="20" t="s">
        <v>37</v>
      </c>
      <c r="F6" s="10" t="s">
        <v>17</v>
      </c>
      <c r="G6" s="24" t="s">
        <v>18</v>
      </c>
      <c r="H6" s="16" t="s">
        <v>62</v>
      </c>
    </row>
    <row r="7">
      <c r="A7" s="8">
        <v>18.0</v>
      </c>
      <c r="B7" s="20" t="s">
        <v>52</v>
      </c>
      <c r="C7" s="20" t="s">
        <v>65</v>
      </c>
      <c r="D7" s="20" t="s">
        <v>66</v>
      </c>
      <c r="E7" s="20" t="s">
        <v>37</v>
      </c>
      <c r="F7" s="10" t="s">
        <v>17</v>
      </c>
      <c r="G7" s="24" t="s">
        <v>18</v>
      </c>
      <c r="H7" s="16" t="s">
        <v>67</v>
      </c>
    </row>
    <row r="8">
      <c r="A8" s="8">
        <v>59.0</v>
      </c>
      <c r="B8" s="20" t="s">
        <v>52</v>
      </c>
      <c r="C8" s="20" t="s">
        <v>69</v>
      </c>
      <c r="D8" s="20" t="s">
        <v>70</v>
      </c>
      <c r="E8" s="20" t="s">
        <v>37</v>
      </c>
      <c r="F8" s="10" t="s">
        <v>17</v>
      </c>
      <c r="G8" s="24" t="s">
        <v>18</v>
      </c>
      <c r="H8" s="16" t="s">
        <v>72</v>
      </c>
    </row>
    <row r="9">
      <c r="A9" s="8">
        <v>57.0</v>
      </c>
      <c r="B9" s="42" t="s">
        <v>286</v>
      </c>
      <c r="C9" s="42" t="s">
        <v>300</v>
      </c>
      <c r="D9" s="42" t="s">
        <v>301</v>
      </c>
      <c r="E9" s="42" t="s">
        <v>16</v>
      </c>
      <c r="F9" s="10" t="s">
        <v>17</v>
      </c>
      <c r="G9" s="24" t="s">
        <v>18</v>
      </c>
      <c r="H9" s="12" t="s">
        <v>302</v>
      </c>
    </row>
    <row r="10">
      <c r="A10" s="36">
        <v>141.0</v>
      </c>
      <c r="B10" s="44" t="s">
        <v>286</v>
      </c>
      <c r="C10" s="44" t="s">
        <v>309</v>
      </c>
      <c r="D10" s="44" t="s">
        <v>320</v>
      </c>
      <c r="E10" s="44" t="s">
        <v>223</v>
      </c>
      <c r="F10" s="18" t="s">
        <v>17</v>
      </c>
      <c r="G10" s="24" t="s">
        <v>18</v>
      </c>
      <c r="H10" s="16" t="s">
        <v>321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