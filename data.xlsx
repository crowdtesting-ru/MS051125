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<sst xmlns="http://schemas.openxmlformats.org/spreadsheetml/2006/main" count="839" uniqueCount="352">
  <si>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</si>
  <si>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</si>
  <si>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</si>
  <si>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</si>
  <si>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</si>
  <si>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</si>
  <si>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</si>
  <si>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</si>
  <si>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</si>
  <si>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</si>
  <si>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</si>
  <si>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</si>
  <si>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</si>
  <si>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</si>
  <si>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</si>
  <si>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</si>
  <si>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</si>
  <si>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</si>
  <si>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</si>
  <si>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</si>
  <si>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</si>
  <si>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</si>
  <si>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</si>
  <si>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</si>
  <si>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</si>
  <si>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</si>
  <si>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</si>
  <si>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</si>
  <si>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</si>
  <si>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</si>
  <si>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</si>
  <si>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</si>
  <si>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</si>
  <si>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</si>
  <si>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</si>
  <si>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</si>
  <si>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</si>
  <si>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</si>
  <si>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</si>
  <si>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</si>
  <si>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</si>
  <si>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</si>
  <si>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</si>
  <si>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</si>
  <si>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</si>
  <si>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</si>
  <si>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</si>
  <si>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</si>
  <si>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</si>
  <si>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</si>
  <si>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</si>
  <si>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</si>
  <si>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</si>
  <si>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</si>
  <si>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</si>
  <si>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</si>
  <si>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</si>
  <si>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</si>
  <si>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</si>
  <si>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</si>
  <si>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</si>
  <si>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</si>
  <si>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</si>
  <si>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</si>
  <si>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</si>
  <si>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</si>
  <si>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</si>
  <si>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</si>
  <si>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</si>
  <si>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</si>
  <si>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</si>
  <si>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</si>
  <si>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</si>
  <si>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</si>
  <si>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</si>
  <si>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</si>
  <si>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</si>
  <si>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</si>
  <si>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</si>
  <si>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</si>
  <si>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</si>
  <si>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</si>
  <si>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</si>
  <si>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</si>
  <si>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</si>
  <si>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</si>
  <si>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</si>
  <si>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</si>
  <si>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</si>
  <si>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</si>
  <si>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</si>
  <si>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</si>
  <si>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</si>
  <si>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</si>
  <si>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</si>
  <si>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</si>
  <si>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</si>
  <si>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</si>
  <si>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</si>
  <si>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</si>
  <si>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</si>
  <si>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</si>
  <si>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</si>
  <si>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</si>
  <si>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</si>
  <si>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</si>
  <si>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</si>
  <si>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</si>
  <si>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</si>
  <si>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</si>
  <si>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</si>
  <si>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</si>
  <si>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</si>
  <si>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</si>
  <si>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</si>
  <si>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</si>
  <si>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</si>
  <si>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</si>
  <si>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</si>
  <si>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</si>
  <si>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</si>
  <si>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</si>
  <si>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</si>
  <si>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</si>
  <si>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</si>
  <si>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</si>
  <si>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</si>
  <si>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</si>
  <si>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</si>
  <si>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</si>
  <si>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</si>
  <si>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</si>
  <si>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</si>
  <si>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</si>
  <si>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</si>
  <si>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</si>
  <si>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</si>
  <si>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</si>
  <si>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</si>
  <si>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</si>
  <si>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</si>
  <si>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</si>
  <si>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</si>
  <si>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</si>
  <si>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</si>
  <si>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</si>
  <si>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</si>
  <si>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</si>
  <si>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</si>
  <si>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</si>
  <si>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</si>
  <si>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</si>
  <si>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</si>
  <si>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</si>
  <si>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</si>
  <si>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</si>
  <si>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</si>
  <si>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</si>
  <si>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</si>
  <si>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</si>
  <si>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</si>
  <si>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</si>
  <si>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</si>
  <si>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</si>
  <si>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</si>
  <si>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</si>
  <si>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</si>
  <si>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</si>
  <si>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</si>
  <si>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</si>
  <si>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</si>
  <si>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</si>
  <si>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</si>
  <si>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</si>
  <si>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</si>
  <si>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</si>
  <si>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</si>
  <si>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</si>
  <si>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</si>
  <si>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</si>
  <si>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</si>
  <si>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</si>
  <si>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</si>
  <si>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</si>
  <si>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</si>
  <si>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</si>
  <si>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</si>
  <si>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</si>
  <si>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</si>
  <si>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</si>
  <si>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</si>
  <si>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</si>
  <si>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</si>
  <si>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</si>
  <si>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</si>
  <si>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</si>
  <si>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</si>
  <si>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</si>
  <si>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</si>
  <si>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</si>
  <si>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</si>
  <si>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</si>
  <si>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</si>
  <si>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</si>
  <si>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Маклаков Виктор Андреевич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</si>
  <si>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</si>
  <si>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</si>
  <si>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</si>
  <si>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</si>
  <si>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Маслов Александр Александрович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</si>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</sst>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34</v>
      </c>
      <c r="C5" s="18" t="s">
        <v>35</v>
      </c>
      <c r="D5" s="18" t="s">
        <v>36</v>
      </c>
      <c r="E5" s="18" t="s">
        <v>37</v>
      </c>
      <c r="F5" s="19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34</v>
      </c>
      <c r="C6" s="18" t="s">
        <v>43</v>
      </c>
      <c r="D6" s="18" t="s">
        <v>44</v>
      </c>
      <c r="E6" s="18" t="s">
        <v>37</v>
      </c>
      <c r="F6" s="19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9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34</v>
      </c>
      <c r="C7" s="18" t="s">
        <v>47</v>
      </c>
      <c r="D7" s="18" t="s">
        <v>48</v>
      </c>
      <c r="E7" s="18" t="s">
        <v>37</v>
      </c>
      <c r="F7" s="19" t="s">
        <v>24</v>
      </c>
      <c r="G7" s="10" t="s">
        <v>18</v>
      </c>
      <c r="H7" s="15" t="s">
        <v>25</v>
      </c>
      <c r="I7" s="10"/>
      <c r="J7" s="12" t="s">
        <v>49</v>
      </c>
      <c r="K7" s="20" t="s">
        <v>50</v>
      </c>
      <c r="L7" s="19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52</v>
      </c>
      <c r="C8" s="21" t="s">
        <v>53</v>
      </c>
      <c r="D8" s="21" t="s">
        <v>54</v>
      </c>
      <c r="E8" s="21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52</v>
      </c>
      <c r="C9" s="21" t="s">
        <v>59</v>
      </c>
      <c r="D9" s="21" t="s">
        <v>60</v>
      </c>
      <c r="E9" s="21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52</v>
      </c>
      <c r="C10" s="21" t="s">
        <v>65</v>
      </c>
      <c r="D10" s="21" t="s">
        <v>66</v>
      </c>
      <c r="E10" s="21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52</v>
      </c>
      <c r="C11" s="21" t="s">
        <v>69</v>
      </c>
      <c r="D11" s="21" t="s">
        <v>70</v>
      </c>
      <c r="E11" s="21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52</v>
      </c>
      <c r="C12" s="21" t="s">
        <v>74</v>
      </c>
      <c r="D12" s="21" t="s">
        <v>75</v>
      </c>
      <c r="E12" s="21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52</v>
      </c>
      <c r="C13" s="21" t="s">
        <v>76</v>
      </c>
      <c r="D13" s="21" t="s">
        <v>77</v>
      </c>
      <c r="E13" s="21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3" t="s">
        <v>50</v>
      </c>
      <c r="L13" s="24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52</v>
      </c>
      <c r="C14" s="21" t="s">
        <v>80</v>
      </c>
      <c r="D14" s="21" t="s">
        <v>81</v>
      </c>
      <c r="E14" s="21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20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52</v>
      </c>
      <c r="C15" s="21" t="s">
        <v>82</v>
      </c>
      <c r="D15" s="21" t="s">
        <v>83</v>
      </c>
      <c r="E15" s="21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17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52</v>
      </c>
      <c r="C16" s="21" t="s">
        <v>85</v>
      </c>
      <c r="D16" s="21" t="s">
        <v>86</v>
      </c>
      <c r="E16" s="21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20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17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159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160</v>
      </c>
      <c r="D32" s="26" t="s">
        <v>161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162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163</v>
      </c>
      <c r="D33" s="26" t="s">
        <v>164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165</v>
      </c>
      <c r="L33" s="24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166</v>
      </c>
      <c r="D34" s="26" t="s">
        <v>167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4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168</v>
      </c>
      <c r="D35" s="26" t="s">
        <v>169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4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4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4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4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7" t="s">
        <v>204</v>
      </c>
      <c r="L46" s="10"/>
      <c r="N46" s="14" t="str">
        <f>IFERROR(__xludf.DUMMYFUNCTION("IFERROR(VLOOKUP(A46,IMPORTRANGE(""1JKYrYOBZQfsQ_9v3OK3daUockrnOgmzXdn8TvfuM9qs"",""Выборка!$A$2:$K$192""),11,0),"""")"),"Маклаков Виктор Андреевич")</f>
        <v>Маклаков Виктор Андреевич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17" t="s">
        <v>209</v>
      </c>
      <c r="L47" s="10"/>
      <c r="N47" s="14" t="str">
        <f>IFERROR(__xludf.DUMMYFUNCTION("IFERROR(VLOOKUP(A47,IMPORTRANGE(""1JKYrYOBZQfsQ_9v3OK3daUockrnOgmzXdn8TvfuM9qs"",""Выборка!$A$2:$K$192""),11,0),"""")"),"Маслов Александр Александрович")</f>
        <v>Маслов Александр Александрович</v>
      </c>
      <c r="O47" s="14" t="str">
        <f t="shared" si="1"/>
        <v>да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20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27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165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9" t="s">
        <v>24</v>
      </c>
      <c r="G64" s="10" t="s">
        <v>18</v>
      </c>
      <c r="H64" s="10"/>
      <c r="I64" s="10"/>
      <c r="J64" s="16" t="s">
        <v>268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9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9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9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9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27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224</v>
      </c>
      <c r="L76" s="10" t="s">
        <v>318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319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320</v>
      </c>
      <c r="K77" s="10" t="s">
        <v>224</v>
      </c>
      <c r="L77" s="45" t="s">
        <v>321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322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323</v>
      </c>
      <c r="K78" s="10" t="s">
        <v>224</v>
      </c>
      <c r="L78" s="19" t="s">
        <v>324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325</v>
      </c>
      <c r="C79" s="46" t="s">
        <v>326</v>
      </c>
      <c r="D79" s="46" t="s">
        <v>327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328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325</v>
      </c>
      <c r="C80" s="46" t="s">
        <v>329</v>
      </c>
      <c r="D80" s="46" t="s">
        <v>330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331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325</v>
      </c>
      <c r="C81" s="46" t="s">
        <v>332</v>
      </c>
      <c r="D81" s="46" t="s">
        <v>333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325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334</v>
      </c>
    </row>
    <row r="4">
      <c r="B4" s="33" t="s">
        <v>335</v>
      </c>
      <c r="C4" s="33" t="s">
        <v>336</v>
      </c>
      <c r="D4" s="33" t="s">
        <v>337</v>
      </c>
      <c r="E4" s="33" t="s">
        <v>338</v>
      </c>
      <c r="F4" s="33" t="s">
        <v>339</v>
      </c>
      <c r="G4" s="33" t="s">
        <v>340</v>
      </c>
      <c r="H4" s="33" t="s">
        <v>341</v>
      </c>
      <c r="I4" s="33" t="s">
        <v>342</v>
      </c>
      <c r="J4" s="33" t="s">
        <v>343</v>
      </c>
      <c r="K4" s="33" t="s">
        <v>344</v>
      </c>
      <c r="L4" s="33" t="s">
        <v>345</v>
      </c>
      <c r="M4" s="33" t="s">
        <v>346</v>
      </c>
      <c r="P4" s="59" t="s">
        <v>347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348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349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3" t="s">
        <v>350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4" t="s">
        <v>31</v>
      </c>
    </row>
    <row r="4">
      <c r="A4" s="8">
        <v>156.0</v>
      </c>
      <c r="B4" s="18" t="s">
        <v>34</v>
      </c>
      <c r="C4" s="18" t="s">
        <v>35</v>
      </c>
      <c r="D4" s="18" t="s">
        <v>36</v>
      </c>
      <c r="E4" s="18" t="s">
        <v>37</v>
      </c>
      <c r="F4" s="19" t="s">
        <v>17</v>
      </c>
      <c r="G4" s="17" t="s">
        <v>18</v>
      </c>
      <c r="H4" s="65" t="s">
        <v>351</v>
      </c>
    </row>
    <row r="5">
      <c r="A5" s="8">
        <v>11.0</v>
      </c>
      <c r="B5" s="21" t="s">
        <v>52</v>
      </c>
      <c r="C5" s="21" t="s">
        <v>53</v>
      </c>
      <c r="D5" s="21" t="s">
        <v>54</v>
      </c>
      <c r="E5" s="21" t="s">
        <v>37</v>
      </c>
      <c r="F5" s="19" t="s">
        <v>17</v>
      </c>
      <c r="G5" s="17" t="s">
        <v>18</v>
      </c>
      <c r="H5" s="16" t="s">
        <v>56</v>
      </c>
    </row>
    <row r="6">
      <c r="A6" s="8">
        <v>12.0</v>
      </c>
      <c r="B6" s="21" t="s">
        <v>52</v>
      </c>
      <c r="C6" s="21" t="s">
        <v>59</v>
      </c>
      <c r="D6" s="21" t="s">
        <v>60</v>
      </c>
      <c r="E6" s="21" t="s">
        <v>37</v>
      </c>
      <c r="F6" s="10" t="s">
        <v>17</v>
      </c>
      <c r="G6" s="17" t="s">
        <v>18</v>
      </c>
      <c r="H6" s="16" t="s">
        <v>62</v>
      </c>
    </row>
    <row r="7">
      <c r="A7" s="8">
        <v>18.0</v>
      </c>
      <c r="B7" s="21" t="s">
        <v>52</v>
      </c>
      <c r="C7" s="21" t="s">
        <v>65</v>
      </c>
      <c r="D7" s="21" t="s">
        <v>66</v>
      </c>
      <c r="E7" s="21" t="s">
        <v>37</v>
      </c>
      <c r="F7" s="10" t="s">
        <v>17</v>
      </c>
      <c r="G7" s="17" t="s">
        <v>18</v>
      </c>
      <c r="H7" s="16" t="s">
        <v>67</v>
      </c>
    </row>
    <row r="8">
      <c r="A8" s="8">
        <v>59.0</v>
      </c>
      <c r="B8" s="21" t="s">
        <v>52</v>
      </c>
      <c r="C8" s="21" t="s">
        <v>69</v>
      </c>
      <c r="D8" s="21" t="s">
        <v>70</v>
      </c>
      <c r="E8" s="21" t="s">
        <v>37</v>
      </c>
      <c r="F8" s="10" t="s">
        <v>17</v>
      </c>
      <c r="G8" s="17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17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319</v>
      </c>
      <c r="E10" s="44" t="s">
        <v>223</v>
      </c>
      <c r="F10" s="19" t="s">
        <v>17</v>
      </c>
      <c r="G10" s="17" t="s">
        <v>18</v>
      </c>
      <c r="H10" s="16" t="s">
        <v>320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