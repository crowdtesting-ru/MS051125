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<sst xmlns="http://schemas.openxmlformats.org/spreadsheetml/2006/main" count="839" uniqueCount="353">
  <si>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</si>
  <si>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</si>
  <si>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</si>
  <si>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</si>
  <si>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</si>
  <si>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</si>
  <si>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</si>
  <si>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</si>
  <si>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</si>
  <si>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</si>
  <si>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</si>
  <si>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</si>
  <si>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</si>
  <si>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</si>
  <si>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</si>
  <si>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</si>
  <si>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</si>
  <si>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</si>
  <si>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</si>
  <si>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</si>
  <si>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</si>
  <si>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</si>
  <si>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</si>
  <si>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</si>
  <si>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</si>
  <si>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</si>
  <si>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</si>
  <si>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</si>
  <si>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</si>
  <si>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</si>
  <si>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</si>
  <si>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</si>
  <si>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</si>
  <si>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</si>
  <si>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</si>
  <si>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</si>
  <si>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</si>
  <si>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</si>
  <si>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</si>
  <si>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</si>
  <si>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</si>
  <si>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</si>
  <si>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</si>
  <si>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</si>
  <si>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</si>
  <si>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</si>
  <si>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</si>
  <si>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</si>
  <si>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</si>
  <si>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</si>
  <si>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</si>
  <si>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</si>
  <si>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</si>
  <si>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</si>
  <si>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</si>
  <si>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</si>
  <si>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</si>
  <si>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</si>
  <si>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</si>
  <si>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</si>
  <si>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</si>
  <si>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</si>
  <si>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</si>
  <si>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</si>
  <si>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</si>
  <si>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</si>
  <si>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</si>
  <si>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</si>
  <si>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</si>
  <si>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</si>
  <si>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</si>
  <si>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</si>
  <si>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</si>
  <si>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</si>
  <si>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</si>
  <si>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</si>
  <si>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</si>
  <si>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</si>
  <si>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</si>
  <si>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</si>
  <si>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</si>
  <si>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</si>
  <si>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</si>
  <si>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</si>
  <si>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</si>
  <si>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</si>
  <si>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</si>
  <si>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</si>
  <si>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</si>
  <si>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</si>
  <si>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</si>
  <si>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</si>
  <si>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</si>
  <si>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</si>
  <si>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</si>
  <si>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</si>
  <si>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</si>
  <si>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</si>
  <si>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</si>
  <si>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</si>
  <si>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</si>
  <si>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</si>
  <si>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</si>
  <si>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</si>
  <si>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</si>
  <si>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</si>
  <si>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</si>
  <si>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</si>
  <si>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</si>
  <si>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</si>
  <si>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</si>
  <si>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</si>
  <si>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</si>
  <si>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</si>
  <si>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</si>
  <si>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</si>
  <si>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</si>
  <si>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</si>
  <si>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</si>
  <si>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</si>
  <si>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</si>
  <si>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</si>
  <si>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</si>
  <si>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</si>
  <si>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</si>
  <si>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</si>
  <si>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</si>
  <si>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</si>
  <si>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</si>
  <si>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</si>
  <si>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</si>
  <si>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</si>
  <si>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</si>
  <si>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</si>
  <si>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</si>
  <si>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</si>
  <si>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</si>
  <si>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</si>
  <si>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</si>
  <si>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</si>
  <si>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</si>
  <si>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</si>
  <si>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</si>
  <si>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</si>
  <si>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</si>
  <si>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</si>
  <si>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</si>
  <si>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</si>
  <si>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</si>
  <si>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</si>
  <si>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</si>
  <si>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</si>
  <si>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</si>
  <si>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</si>
  <si>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</si>
  <si>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</si>
  <si>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</si>
  <si>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</si>
  <si>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</si>
  <si>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</si>
  <si>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</si>
  <si>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</si>
  <si>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</si>
  <si>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</si>
  <si>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</si>
  <si>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</si>
  <si>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</si>
  <si>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</si>
  <si>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</si>
  <si>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</si>
  <si>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</si>
  <si>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</si>
  <si>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</si>
  <si>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</si>
  <si>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</si>
  <si>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</si>
  <si>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</si>
  <si>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</si>
  <si>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</si>
  <si>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</si>
  <si>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</si>
  <si>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</si>
  <si>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</si>
  <si>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</si>
  <si>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</si>
  <si>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</si>
  <si>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</si>
  <si>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</si>
  <si>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</si>
  <si>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</si>
  <si>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</si>
  <si>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</si>
  <si>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</si>
  <si>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</si>
  <si>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</si>
  <si>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</si>
  <si>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</si>
  <si>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</si>
  <si>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</si>
  <si>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</si>
  <si>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</si>
  <si>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</si>
  <si>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</si>
  <si>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</si>
  <si>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Жесткова Маргарита Викторовна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</si>
  <si>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</si>
  <si>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</si>
  <si>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</si>
  <si>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</si>
  <si>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</si>
  <si>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</si>
  <si>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</si>
  <si>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</si>
  <si>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</si>
  <si>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</si>
  <si>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</si>
  <si>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</si>
  <si>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</si>
  <si>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</si>
  <si>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</si>
  <si>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</si>
  <si>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</si>
  <si>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</si>
  <si>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</si>
  <si>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</si>
  <si>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</si>
  <si>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</si>
  <si>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</si>
  <si>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</si>
  <si>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</si>
  <si>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</si>
  <si>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</si>
  <si>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</si>
  <si>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</si>
  <si>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</si>
  <si>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</si>
  <si>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</si>
  <si>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</si>
  <si>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</si>
  <si>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</si>
  <si>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</si>
  <si>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</si>
  <si>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</si>
  <si>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</si>
  <si>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</si>
  <si>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</si>
  <si>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</si>
  <si>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</si>
  <si>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</si>
  <si>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</si>
  <si>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</si>
  <si>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</si>
  <si>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</si>
  <si>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</si>
  <si>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</si>
  <si>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</si>
  <si>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</si>
  <si>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</si>
  <si>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</si>
  <si>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</si>
  <si>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</si>
  <si>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</si>
  <si>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</si>
  <si>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</si>
  <si>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</si>
  <si>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</si>
  <si>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</si>
  <si>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</si>
  <si>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</si>
  <si>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</si>
  <si>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</si>
  <si>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</si>
  <si>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</si>
  <si>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</si>
  <si>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</si>
  <si>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</si>
  <si>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</si>
  <si>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</si>
  <si>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</si>
  <si>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</si>
  <si>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</si>
  <si>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</si>
  <si>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</si>
  <si>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</si>
  <si>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</si>
  <si>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</si>
  <si>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</si>
  <si>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</si>
  <si>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</si>
  <si>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</si>
  <si>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</si>
  <si>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</si>
  <si>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</si>
  <si>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</si>
  <si>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</si>
  <si>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</si>
  <si>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Красота</t>
  </si>
  <si>
    <t>г. Москва, Романов пер., 2, стр. 1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</si>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</sst>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24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24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159</v>
      </c>
      <c r="D32" s="26" t="s">
        <v>160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162</v>
      </c>
      <c r="D33" s="26" t="s">
        <v>163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165</v>
      </c>
      <c r="D34" s="26" t="s">
        <v>166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167</v>
      </c>
      <c r="D35" s="26" t="s">
        <v>168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IFERROR(__xludf.DUMMYFUNCTION("IFERROR(VLOOKUP(A46,IMPORTRANGE(""1JKYrYOBZQfsQ_9v3OK3daUockrnOgmzXdn8TvfuM9qs"",""Выборка!$A$2:$K$192""),11,0),"""")"),"Жесткова Маргарита Викторовна")</f>
        <v>Жесткова Маргарита Викторовна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10" t="s">
        <v>209</v>
      </c>
      <c r="L47" s="10"/>
      <c r="N47" s="14" t="str">
        <f>IFERROR(__xludf.DUMMYFUNCTION("IFERROR(VLOOKUP(A47,IMPORTRANGE(""1JKYrYOBZQfsQ_9v3OK3daUockrnOgmzXdn8TvfuM9qs"",""Выборка!$A$2:$K$192""),11,0),"""")"),"Замена Белов Александр Сергеевич")</f>
        <v>Замена Белов Александр Сергеевич</v>
      </c>
      <c r="O47" s="14" t="str">
        <f t="shared" si="1"/>
        <v>нет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19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169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8" t="s">
        <v>24</v>
      </c>
      <c r="G64" s="10" t="s">
        <v>18</v>
      </c>
      <c r="H64" s="10"/>
      <c r="I64" s="10"/>
      <c r="J64" s="16" t="s">
        <v>268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8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8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8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169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318</v>
      </c>
      <c r="L76" s="10" t="s">
        <v>319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320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321</v>
      </c>
      <c r="K77" s="10" t="s">
        <v>224</v>
      </c>
      <c r="L77" s="45" t="s">
        <v>322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323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324</v>
      </c>
      <c r="K78" s="10" t="s">
        <v>224</v>
      </c>
      <c r="L78" s="18" t="s">
        <v>325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326</v>
      </c>
      <c r="C79" s="46" t="s">
        <v>327</v>
      </c>
      <c r="D79" s="46" t="s">
        <v>328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329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326</v>
      </c>
      <c r="C80" s="46" t="s">
        <v>330</v>
      </c>
      <c r="D80" s="46" t="s">
        <v>331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332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326</v>
      </c>
      <c r="C81" s="46" t="s">
        <v>333</v>
      </c>
      <c r="D81" s="46" t="s">
        <v>334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326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335</v>
      </c>
    </row>
    <row r="4">
      <c r="B4" s="33" t="s">
        <v>336</v>
      </c>
      <c r="C4" s="33" t="s">
        <v>337</v>
      </c>
      <c r="D4" s="33" t="s">
        <v>338</v>
      </c>
      <c r="E4" s="33" t="s">
        <v>339</v>
      </c>
      <c r="F4" s="33" t="s">
        <v>340</v>
      </c>
      <c r="G4" s="33" t="s">
        <v>341</v>
      </c>
      <c r="H4" s="33" t="s">
        <v>342</v>
      </c>
      <c r="I4" s="33" t="s">
        <v>343</v>
      </c>
      <c r="J4" s="33" t="s">
        <v>344</v>
      </c>
      <c r="K4" s="33" t="s">
        <v>345</v>
      </c>
      <c r="L4" s="33" t="s">
        <v>346</v>
      </c>
      <c r="M4" s="33" t="s">
        <v>347</v>
      </c>
      <c r="P4" s="59" t="s">
        <v>348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349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350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24" t="s">
        <v>18</v>
      </c>
      <c r="H2" s="63" t="s">
        <v>351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24" t="s">
        <v>18</v>
      </c>
      <c r="H3" s="64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24" t="s">
        <v>18</v>
      </c>
      <c r="H4" s="65" t="s">
        <v>352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24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24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24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24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24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320</v>
      </c>
      <c r="E10" s="44" t="s">
        <v>223</v>
      </c>
      <c r="F10" s="18" t="s">
        <v>17</v>
      </c>
      <c r="G10" s="24" t="s">
        <v>18</v>
      </c>
      <c r="H10" s="16" t="s">
        <v>321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