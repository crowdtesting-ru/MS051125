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<sst xmlns="http://schemas.openxmlformats.org/spreadsheetml/2006/main" count="839" uniqueCount="353">
  <si>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</si>
  <si>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</si>
  <si>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</si>
  <si>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</si>
  <si>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</si>
  <si>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</si>
  <si>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</si>
  <si>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</si>
  <si>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</si>
  <si>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</si>
  <si>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</si>
  <si>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</si>
  <si>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</si>
  <si>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</si>
  <si>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</si>
  <si>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</si>
  <si>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</si>
  <si>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</si>
  <si>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</si>
  <si>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</si>
  <si>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</si>
  <si>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</si>
  <si>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</si>
  <si>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</si>
  <si>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</si>
  <si>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</si>
  <si>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</si>
  <si>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</si>
  <si>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</si>
  <si>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</si>
  <si>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</si>
  <si>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</si>
  <si>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</si>
  <si>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</si>
  <si>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</si>
  <si>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</si>
  <si>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</si>
  <si>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</si>
  <si>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</si>
  <si>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</si>
  <si>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</si>
  <si>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</si>
  <si>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</si>
  <si>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</si>
  <si>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</si>
  <si>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</si>
  <si>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</si>
  <si>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</si>
  <si>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</si>
  <si>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</si>
  <si>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</si>
  <si>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</si>
  <si>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</si>
  <si>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</si>
  <si>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</si>
  <si>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</si>
  <si>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</si>
  <si>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</si>
  <si>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</si>
  <si>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</si>
  <si>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</si>
  <si>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</si>
  <si>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</si>
  <si>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</si>
  <si>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</si>
  <si>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</si>
  <si>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</si>
  <si>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</si>
  <si>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</si>
  <si>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</si>
  <si>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</si>
  <si>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</si>
  <si>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</si>
  <si>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</si>
  <si>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</si>
  <si>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</si>
  <si>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</si>
  <si>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</si>
  <si>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</si>
  <si>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</si>
  <si>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</si>
  <si>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</si>
  <si>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</si>
  <si>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</si>
  <si>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Львов Александр Анатольевич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</si>
  <si>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</si>
  <si>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</si>
  <si>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</si>
  <si>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</si>
  <si>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</si>
  <si>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</si>
  <si>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</si>
  <si>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</si>
  <si>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</si>
  <si>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</si>
  <si>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</si>
  <si>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</si>
  <si>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</si>
  <si>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</si>
  <si>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</si>
  <si>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</si>
  <si>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</si>
  <si>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</si>
  <si>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</si>
  <si>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</si>
  <si>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</si>
  <si>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</si>
  <si>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</si>
  <si>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</si>
  <si>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</si>
  <si>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</si>
  <si>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</si>
  <si>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</si>
  <si>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</si>
  <si>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</si>
  <si>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</si>
  <si>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</si>
  <si>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</si>
  <si>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</si>
  <si>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</si>
  <si>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</si>
  <si>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</si>
  <si>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</si>
  <si>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</si>
  <si>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</si>
  <si>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</si>
  <si>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</si>
  <si>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</si>
  <si>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</si>
  <si>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</si>
  <si>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</si>
  <si>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</si>
  <si>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</si>
  <si>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</si>
  <si>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</si>
  <si>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</si>
  <si>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</si>
  <si>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</si>
  <si>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</si>
  <si>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</si>
  <si>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</si>
  <si>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</si>
  <si>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</si>
  <si>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</si>
  <si>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</si>
  <si>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</si>
  <si>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</si>
  <si>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</si>
  <si>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</si>
  <si>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</si>
  <si>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</si>
  <si>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</si>
  <si>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</si>
  <si>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</si>
  <si>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</si>
  <si>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</si>
  <si>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</si>
  <si>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</si>
  <si>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</si>
  <si>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</si>
  <si>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</si>
  <si>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</si>
  <si>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</si>
  <si>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</si>
  <si>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</si>
  <si>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</si>
  <si>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</si>
  <si>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</si>
  <si>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</si>
  <si>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</si>
  <si>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</si>
  <si>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</si>
  <si>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</si>
  <si>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</si>
  <si>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</si>
  <si>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</si>
  <si>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</si>
  <si>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</si>
  <si>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</si>
  <si>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</si>
  <si>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</si>
  <si>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</si>
  <si>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</si>
  <si>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</si>
  <si>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</si>
  <si>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</si>
  <si>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</si>
  <si>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</si>
  <si>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</si>
  <si>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</si>
  <si>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</si>
  <si>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</si>
  <si>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</si>
  <si>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</si>
  <si>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</si>
  <si>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</si>
  <si>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</si>
  <si>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</si>
  <si>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</si>
  <si>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</si>
  <si>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</si>
  <si>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</si>
  <si>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</si>
  <si>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</si>
  <si>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Герасимов Сергей Александрович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</si>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</sst>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0" fontId="7" numFmtId="0" xfId="0" applyAlignment="1" applyFont="1">
      <alignment readingOrder="0" vertical="bottom"/>
    </xf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IFERROR(__xludf.DUMMYFUNCTION("IFERROR(VLOOKUP(A11,IMPORTRANGE(""1JKYrYOBZQfsQ_9v3OK3daUockrnOgmzXdn8TvfuM9qs"",""Выборка!$A$2:$K$192""),11,0),"""")"),"Неудачин Даниил Глебович")</f>
        <v>Неудачин Даниил Глебович</v>
      </c>
      <c r="O11" s="14" t="str">
        <f t="shared" si="1"/>
        <v>да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9" t="s">
        <v>84</v>
      </c>
      <c r="L15" s="10"/>
      <c r="N15" s="14" t="str">
        <f>IFERROR(__xludf.DUMMYFUNCTION("IFERROR(VLOOKUP(A15,IMPORTRANGE(""1JKYrYOBZQfsQ_9v3OK3daUockrnOgmzXdn8TvfuM9qs"",""Выборка!$A$2:$K$192""),11,0),"""")"),"Львов Александр Анатольевич")</f>
        <v>Львов Александр Анатольевич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9" t="s">
        <v>84</v>
      </c>
      <c r="L16" s="10"/>
      <c r="N16" s="14" t="str">
        <f>IFERROR(__xludf.DUMMYFUNCTION("IFERROR(VLOOKUP(A16,IMPORTRANGE(""1JKYrYOBZQfsQ_9v3OK3daUockrnOgmzXdn8TvfuM9qs"",""Выборка!$A$2:$K$192""),11,0),"""")"),"Львов Александр Анатольевич")</f>
        <v>Львов Александр Анатольевич</v>
      </c>
      <c r="O16" s="14" t="str">
        <f t="shared" si="1"/>
        <v>да</v>
      </c>
    </row>
    <row r="17">
      <c r="A17" s="8">
        <v>14.0</v>
      </c>
      <c r="B17" s="24" t="s">
        <v>87</v>
      </c>
      <c r="C17" s="24" t="s">
        <v>88</v>
      </c>
      <c r="D17" s="24" t="s">
        <v>89</v>
      </c>
      <c r="E17" s="24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4" t="s">
        <v>87</v>
      </c>
      <c r="C18" s="24" t="s">
        <v>91</v>
      </c>
      <c r="D18" s="24" t="s">
        <v>92</v>
      </c>
      <c r="E18" s="24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4" t="s">
        <v>87</v>
      </c>
      <c r="C19" s="24" t="s">
        <v>95</v>
      </c>
      <c r="D19" s="24" t="s">
        <v>96</v>
      </c>
      <c r="E19" s="24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4" t="s">
        <v>87</v>
      </c>
      <c r="C20" s="24" t="s">
        <v>100</v>
      </c>
      <c r="D20" s="24" t="s">
        <v>101</v>
      </c>
      <c r="E20" s="24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4" t="s">
        <v>87</v>
      </c>
      <c r="C21" s="24" t="s">
        <v>104</v>
      </c>
      <c r="D21" s="24" t="s">
        <v>105</v>
      </c>
      <c r="E21" s="24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5" t="s">
        <v>108</v>
      </c>
      <c r="C22" s="25" t="s">
        <v>109</v>
      </c>
      <c r="D22" s="25" t="s">
        <v>110</v>
      </c>
      <c r="E22" s="25" t="s">
        <v>111</v>
      </c>
      <c r="F22" s="10" t="s">
        <v>24</v>
      </c>
      <c r="G22" s="10" t="s">
        <v>18</v>
      </c>
      <c r="H22" s="26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5" t="s">
        <v>108</v>
      </c>
      <c r="C23" s="25" t="s">
        <v>116</v>
      </c>
      <c r="D23" s="25" t="s">
        <v>117</v>
      </c>
      <c r="E23" s="25" t="s">
        <v>118</v>
      </c>
      <c r="F23" s="10" t="s">
        <v>24</v>
      </c>
      <c r="G23" s="10" t="s">
        <v>18</v>
      </c>
      <c r="H23" s="26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5" t="s">
        <v>108</v>
      </c>
      <c r="C24" s="25" t="s">
        <v>121</v>
      </c>
      <c r="D24" s="25" t="s">
        <v>122</v>
      </c>
      <c r="E24" s="25" t="s">
        <v>123</v>
      </c>
      <c r="F24" s="10" t="s">
        <v>24</v>
      </c>
      <c r="G24" s="10" t="s">
        <v>18</v>
      </c>
      <c r="H24" s="26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5" t="s">
        <v>108</v>
      </c>
      <c r="C25" s="25" t="s">
        <v>127</v>
      </c>
      <c r="D25" s="25" t="s">
        <v>128</v>
      </c>
      <c r="E25" s="25" t="s">
        <v>129</v>
      </c>
      <c r="F25" s="10" t="s">
        <v>24</v>
      </c>
      <c r="G25" s="10" t="s">
        <v>18</v>
      </c>
      <c r="H25" s="26" t="s">
        <v>112</v>
      </c>
      <c r="I25" s="10"/>
      <c r="J25" s="27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5" t="s">
        <v>108</v>
      </c>
      <c r="C26" s="25" t="s">
        <v>132</v>
      </c>
      <c r="D26" s="25" t="s">
        <v>133</v>
      </c>
      <c r="E26" s="25" t="s">
        <v>134</v>
      </c>
      <c r="F26" s="10" t="s">
        <v>24</v>
      </c>
      <c r="G26" s="10" t="s">
        <v>18</v>
      </c>
      <c r="H26" s="26" t="s">
        <v>112</v>
      </c>
      <c r="I26" s="10"/>
      <c r="J26" s="28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5" t="s">
        <v>108</v>
      </c>
      <c r="C27" s="25" t="s">
        <v>137</v>
      </c>
      <c r="D27" s="25" t="s">
        <v>138</v>
      </c>
      <c r="E27" s="25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5" t="s">
        <v>108</v>
      </c>
      <c r="C28" s="25" t="s">
        <v>142</v>
      </c>
      <c r="D28" s="25" t="s">
        <v>143</v>
      </c>
      <c r="E28" s="25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29" t="s">
        <v>146</v>
      </c>
      <c r="L28" s="10"/>
      <c r="N28" s="14" t="str">
        <f>IFERROR(__xludf.DUMMYFUNCTION("IFERROR(VLOOKUP(A28,IMPORTRANGE(""1JKYrYOBZQfsQ_9v3OK3daUockrnOgmzXdn8TvfuM9qs"",""Выборка!$A$2:$K$192""),11,0),"""")"),"Капустина Ксения Александровна")</f>
        <v>Капустина Ксения Александровна</v>
      </c>
      <c r="O28" s="14" t="str">
        <f t="shared" si="1"/>
        <v>да</v>
      </c>
    </row>
    <row r="29">
      <c r="A29" s="8">
        <v>22.0</v>
      </c>
      <c r="B29" s="25" t="s">
        <v>108</v>
      </c>
      <c r="C29" s="25" t="s">
        <v>147</v>
      </c>
      <c r="D29" s="25" t="s">
        <v>148</v>
      </c>
      <c r="E29" s="25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30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5" t="s">
        <v>108</v>
      </c>
      <c r="C30" s="25" t="s">
        <v>153</v>
      </c>
      <c r="D30" s="25" t="s">
        <v>154</v>
      </c>
      <c r="E30" s="25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5" t="s">
        <v>108</v>
      </c>
      <c r="C31" s="25" t="s">
        <v>157</v>
      </c>
      <c r="D31" s="25" t="s">
        <v>158</v>
      </c>
      <c r="E31" s="25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5" t="s">
        <v>108</v>
      </c>
      <c r="C32" s="25" t="s">
        <v>159</v>
      </c>
      <c r="D32" s="25" t="s">
        <v>160</v>
      </c>
      <c r="E32" s="25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5" t="s">
        <v>108</v>
      </c>
      <c r="C33" s="25" t="s">
        <v>162</v>
      </c>
      <c r="D33" s="25" t="s">
        <v>163</v>
      </c>
      <c r="E33" s="25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5" t="s">
        <v>108</v>
      </c>
      <c r="C34" s="25" t="s">
        <v>165</v>
      </c>
      <c r="D34" s="25" t="s">
        <v>166</v>
      </c>
      <c r="E34" s="25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5" t="s">
        <v>108</v>
      </c>
      <c r="C35" s="25" t="s">
        <v>167</v>
      </c>
      <c r="D35" s="25" t="s">
        <v>168</v>
      </c>
      <c r="E35" s="25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5" t="s">
        <v>108</v>
      </c>
      <c r="C36" s="25" t="s">
        <v>170</v>
      </c>
      <c r="D36" s="25" t="s">
        <v>171</v>
      </c>
      <c r="E36" s="25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5" t="s">
        <v>108</v>
      </c>
      <c r="C37" s="25" t="s">
        <v>173</v>
      </c>
      <c r="D37" s="25" t="s">
        <v>174</v>
      </c>
      <c r="E37" s="25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5" t="s">
        <v>108</v>
      </c>
      <c r="C38" s="25" t="s">
        <v>176</v>
      </c>
      <c r="D38" s="25" t="s">
        <v>177</v>
      </c>
      <c r="E38" s="25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5" t="s">
        <v>108</v>
      </c>
      <c r="C39" s="25" t="s">
        <v>179</v>
      </c>
      <c r="D39" s="25" t="s">
        <v>180</v>
      </c>
      <c r="E39" s="25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5" t="s">
        <v>108</v>
      </c>
      <c r="C40" s="25" t="s">
        <v>183</v>
      </c>
      <c r="D40" s="25" t="s">
        <v>184</v>
      </c>
      <c r="E40" s="25" t="s">
        <v>16</v>
      </c>
      <c r="F40" s="10" t="s">
        <v>24</v>
      </c>
      <c r="G40" s="10" t="s">
        <v>18</v>
      </c>
      <c r="H40" s="26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5" t="s">
        <v>108</v>
      </c>
      <c r="C41" s="25" t="s">
        <v>187</v>
      </c>
      <c r="D41" s="25" t="s">
        <v>188</v>
      </c>
      <c r="E41" s="25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5" t="s">
        <v>108</v>
      </c>
      <c r="C42" s="25" t="s">
        <v>190</v>
      </c>
      <c r="D42" s="25" t="s">
        <v>191</v>
      </c>
      <c r="E42" s="25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5" t="s">
        <v>108</v>
      </c>
      <c r="C43" s="25" t="s">
        <v>193</v>
      </c>
      <c r="D43" s="25" t="s">
        <v>194</v>
      </c>
      <c r="E43" s="25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5" t="s">
        <v>108</v>
      </c>
      <c r="C44" s="25" t="s">
        <v>195</v>
      </c>
      <c r="D44" s="25" t="s">
        <v>196</v>
      </c>
      <c r="E44" s="25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5" t="s">
        <v>108</v>
      </c>
      <c r="C45" s="25" t="s">
        <v>198</v>
      </c>
      <c r="D45" s="25" t="s">
        <v>199</v>
      </c>
      <c r="E45" s="25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5" t="s">
        <v>108</v>
      </c>
      <c r="C46" s="25" t="s">
        <v>201</v>
      </c>
      <c r="D46" s="25" t="s">
        <v>202</v>
      </c>
      <c r="E46" s="25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IFERROR(__xludf.DUMMYFUNCTION("IFERROR(VLOOKUP(A46,IMPORTRANGE(""1JKYrYOBZQfsQ_9v3OK3daUockrnOgmzXdn8TvfuM9qs"",""Выборка!$A$2:$K$192""),11,0),"""")"),"Герасимов Сергей Александрович")</f>
        <v>Герасимов Сергей Александрович</v>
      </c>
      <c r="O46" s="14" t="str">
        <f t="shared" si="1"/>
        <v>да</v>
      </c>
    </row>
    <row r="47">
      <c r="A47" s="8">
        <v>94.0</v>
      </c>
      <c r="B47" s="25" t="s">
        <v>108</v>
      </c>
      <c r="C47" s="25" t="s">
        <v>205</v>
      </c>
      <c r="D47" s="25" t="s">
        <v>206</v>
      </c>
      <c r="E47" s="25" t="s">
        <v>207</v>
      </c>
      <c r="F47" s="10" t="s">
        <v>24</v>
      </c>
      <c r="G47" s="10" t="s">
        <v>18</v>
      </c>
      <c r="H47" s="26" t="s">
        <v>112</v>
      </c>
      <c r="I47" s="10"/>
      <c r="J47" s="16" t="s">
        <v>208</v>
      </c>
      <c r="K47" s="10" t="s">
        <v>209</v>
      </c>
      <c r="L47" s="10"/>
      <c r="N47" s="14" t="str">
        <f>IFERROR(__xludf.DUMMYFUNCTION("IFERROR(VLOOKUP(A47,IMPORTRANGE(""1JKYrYOBZQfsQ_9v3OK3daUockrnOgmzXdn8TvfuM9qs"",""Выборка!$A$2:$K$192""),11,0),"""")"),"Белов Александр Сергеевич")</f>
        <v>Белов Александр Сергеевич</v>
      </c>
      <c r="O47" s="14" t="str">
        <f t="shared" si="1"/>
        <v>да</v>
      </c>
    </row>
    <row r="48">
      <c r="A48" s="8">
        <v>100.0</v>
      </c>
      <c r="B48" s="25" t="s">
        <v>108</v>
      </c>
      <c r="C48" s="25" t="s">
        <v>210</v>
      </c>
      <c r="D48" s="25" t="s">
        <v>211</v>
      </c>
      <c r="E48" s="25" t="s">
        <v>212</v>
      </c>
      <c r="F48" s="10" t="s">
        <v>24</v>
      </c>
      <c r="G48" s="10" t="s">
        <v>18</v>
      </c>
      <c r="H48" s="26" t="s">
        <v>112</v>
      </c>
      <c r="I48" s="10"/>
      <c r="J48" s="16" t="s">
        <v>213</v>
      </c>
      <c r="K48" s="19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5" t="s">
        <v>108</v>
      </c>
      <c r="C49" s="25" t="s">
        <v>215</v>
      </c>
      <c r="D49" s="25" t="s">
        <v>216</v>
      </c>
      <c r="E49" s="25" t="s">
        <v>212</v>
      </c>
      <c r="F49" s="10" t="s">
        <v>24</v>
      </c>
      <c r="G49" s="10" t="s">
        <v>18</v>
      </c>
      <c r="H49" s="26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5" t="s">
        <v>108</v>
      </c>
      <c r="C50" s="25" t="s">
        <v>218</v>
      </c>
      <c r="D50" s="25" t="s">
        <v>219</v>
      </c>
      <c r="E50" s="25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5" t="s">
        <v>108</v>
      </c>
      <c r="C51" s="25" t="s">
        <v>221</v>
      </c>
      <c r="D51" s="25" t="s">
        <v>222</v>
      </c>
      <c r="E51" s="25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5" t="s">
        <v>108</v>
      </c>
      <c r="C52" s="25" t="s">
        <v>226</v>
      </c>
      <c r="D52" s="25" t="s">
        <v>227</v>
      </c>
      <c r="E52" s="25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5" t="s">
        <v>108</v>
      </c>
      <c r="C53" s="25" t="s">
        <v>231</v>
      </c>
      <c r="D53" s="25" t="s">
        <v>232</v>
      </c>
      <c r="E53" s="25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5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6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5" t="s">
        <v>108</v>
      </c>
      <c r="C55" s="25" t="s">
        <v>238</v>
      </c>
      <c r="D55" s="25" t="s">
        <v>239</v>
      </c>
      <c r="E55" s="25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6" t="s">
        <v>25</v>
      </c>
      <c r="I59" s="10"/>
      <c r="J59" s="12" t="s">
        <v>252</v>
      </c>
      <c r="K59" s="10" t="s">
        <v>169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6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6" t="s">
        <v>25</v>
      </c>
      <c r="I62" s="10"/>
      <c r="J62" s="16" t="s">
        <v>263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268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8" t="s">
        <v>24</v>
      </c>
      <c r="G68" s="10" t="s">
        <v>18</v>
      </c>
      <c r="H68" s="26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8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6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6" t="s">
        <v>25</v>
      </c>
      <c r="I72" s="10" t="s">
        <v>293</v>
      </c>
      <c r="J72" s="16" t="s">
        <v>298</v>
      </c>
      <c r="K72" s="10" t="s">
        <v>94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IFERROR(__xludf.DUMMYFUNCTION("IFERROR(VLOOKUP(A72,IMPORTRANGE(""1JKYrYOBZQfsQ_9v3OK3daUockrnOgmzXdn8TvfuM9qs"",""Выборка!$A$2:$K$192""),11,0),"""")"),"Желязко Дмитрий Викторович")</f>
        <v>Желязко Дмитрий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6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6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6" t="s">
        <v>112</v>
      </c>
      <c r="I76" s="10" t="s">
        <v>316</v>
      </c>
      <c r="J76" s="27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6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8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6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30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30" t="s">
        <v>18</v>
      </c>
      <c r="H3" s="64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30" t="s">
        <v>18</v>
      </c>
      <c r="H4" s="65" t="s">
        <v>352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30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30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30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30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30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8" t="s">
        <v>17</v>
      </c>
      <c r="G10" s="30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